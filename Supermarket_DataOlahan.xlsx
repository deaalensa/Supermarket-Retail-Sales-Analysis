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E:\PORTOFOLIO\DATAANALYST\EXEL LEARNING\refresh\"/>
    </mc:Choice>
  </mc:AlternateContent>
  <xr:revisionPtr revIDLastSave="0" documentId="13_ncr:1_{0749728C-83E1-41BC-A0AF-F873DDEEC25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 Penjualan" sheetId="1" r:id="rId1"/>
    <sheet name="Pivot Tables" sheetId="2" r:id="rId2"/>
    <sheet name="Dashboard" sheetId="3" r:id="rId3"/>
    <sheet name="Analisis Summary" sheetId="4" r:id="rId4"/>
  </sheets>
  <calcPr calcId="191029" iterateDelta="1E-4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4" l="1"/>
  <c r="E8" i="4"/>
  <c r="E7" i="4"/>
  <c r="E6" i="4"/>
  <c r="E5" i="4"/>
</calcChain>
</file>

<file path=xl/sharedStrings.xml><?xml version="1.0" encoding="utf-8"?>
<sst xmlns="http://schemas.openxmlformats.org/spreadsheetml/2006/main" count="11084" uniqueCount="1113">
  <si>
    <t>ID Transaksi</t>
  </si>
  <si>
    <t>Tanggal</t>
  </si>
  <si>
    <t>Hari</t>
  </si>
  <si>
    <t>Bulan</t>
  </si>
  <si>
    <t>Kuartal</t>
  </si>
  <si>
    <t>Tahun</t>
  </si>
  <si>
    <t>Jam Transaksi</t>
  </si>
  <si>
    <t>Nama Produk</t>
  </si>
  <si>
    <t>Kategori</t>
  </si>
  <si>
    <t>Harga Satuan</t>
  </si>
  <si>
    <t>Jumlah</t>
  </si>
  <si>
    <t>Diskon (%)</t>
  </si>
  <si>
    <t>Total Penjualan</t>
  </si>
  <si>
    <t>HPP</t>
  </si>
  <si>
    <t>Laba Kotor</t>
  </si>
  <si>
    <t>Margin (%)</t>
  </si>
  <si>
    <t>Cabang</t>
  </si>
  <si>
    <t>Kasir</t>
  </si>
  <si>
    <t>Metode Pembayaran</t>
  </si>
  <si>
    <t>Status Member</t>
  </si>
  <si>
    <t>Rating Pelanggan</t>
  </si>
  <si>
    <t>TRX-0001</t>
  </si>
  <si>
    <t>Rabu</t>
  </si>
  <si>
    <t>Oktober</t>
  </si>
  <si>
    <t>Q4</t>
  </si>
  <si>
    <t>Malam (20-22)</t>
  </si>
  <si>
    <t>Aqua 1.5L</t>
  </si>
  <si>
    <t>Minuman</t>
  </si>
  <si>
    <t>Malang Kota</t>
  </si>
  <si>
    <t>Dewi</t>
  </si>
  <si>
    <t>Tunai</t>
  </si>
  <si>
    <t>Member</t>
  </si>
  <si>
    <t>TRX-0002</t>
  </si>
  <si>
    <t>Kamis</t>
  </si>
  <si>
    <t>April</t>
  </si>
  <si>
    <t>Q2</t>
  </si>
  <si>
    <t>Siang (12-16)</t>
  </si>
  <si>
    <t>Oreo</t>
  </si>
  <si>
    <t>Snack</t>
  </si>
  <si>
    <t>Kepanjen</t>
  </si>
  <si>
    <t>Kartu Kredit</t>
  </si>
  <si>
    <t>Non-Member</t>
  </si>
  <si>
    <t>TRX-0003</t>
  </si>
  <si>
    <t>Pagi (08-12)</t>
  </si>
  <si>
    <t>Teh Botol</t>
  </si>
  <si>
    <t>Siti</t>
  </si>
  <si>
    <t>TRX-0004</t>
  </si>
  <si>
    <t>Januari</t>
  </si>
  <si>
    <t>Q1</t>
  </si>
  <si>
    <t>Softex</t>
  </si>
  <si>
    <t>Kebersihan</t>
  </si>
  <si>
    <t>Lawang</t>
  </si>
  <si>
    <t>TRX-0005</t>
  </si>
  <si>
    <t>Sabtu</t>
  </si>
  <si>
    <t>Lip Balm Nivea</t>
  </si>
  <si>
    <t>Perawatan</t>
  </si>
  <si>
    <t>Budi</t>
  </si>
  <si>
    <t>Kartu Debit</t>
  </si>
  <si>
    <t>TRX-0006</t>
  </si>
  <si>
    <t>Deterjen Rinso</t>
  </si>
  <si>
    <t>TRX-0007</t>
  </si>
  <si>
    <t>Sore (16-20)</t>
  </si>
  <si>
    <t>Royco Ayam</t>
  </si>
  <si>
    <t>Bumbu Dapur</t>
  </si>
  <si>
    <t>TRX-0008</t>
  </si>
  <si>
    <t>Maret</t>
  </si>
  <si>
    <t>Cheetos</t>
  </si>
  <si>
    <t>Agus</t>
  </si>
  <si>
    <t>QRIS</t>
  </si>
  <si>
    <t>TRX-0009</t>
  </si>
  <si>
    <t>Minggu</t>
  </si>
  <si>
    <t>Juli</t>
  </si>
  <si>
    <t>Q3</t>
  </si>
  <si>
    <t>TRX-0010</t>
  </si>
  <si>
    <t>Februari</t>
  </si>
  <si>
    <t>Batu</t>
  </si>
  <si>
    <t>Rina</t>
  </si>
  <si>
    <t>TRX-0011</t>
  </si>
  <si>
    <t>Jumat</t>
  </si>
  <si>
    <t>September</t>
  </si>
  <si>
    <t>Pelembab Vaseline</t>
  </si>
  <si>
    <t>Singosari</t>
  </si>
  <si>
    <t>TRX-0012</t>
  </si>
  <si>
    <t>Selasa</t>
  </si>
  <si>
    <t>Pocari Sweat</t>
  </si>
  <si>
    <t>Voucher</t>
  </si>
  <si>
    <t>TRX-0013</t>
  </si>
  <si>
    <t>Juni</t>
  </si>
  <si>
    <t>Kapas Kecantikan</t>
  </si>
  <si>
    <t>TRX-0014</t>
  </si>
  <si>
    <t>Senin</t>
  </si>
  <si>
    <t>TRX-0015</t>
  </si>
  <si>
    <t>TRX-0016</t>
  </si>
  <si>
    <t>Kecap ABC</t>
  </si>
  <si>
    <t>TRX-0017</t>
  </si>
  <si>
    <t>TRX-0018</t>
  </si>
  <si>
    <t>TRX-0019</t>
  </si>
  <si>
    <t>Desember</t>
  </si>
  <si>
    <t>Sania Minyak Goreng</t>
  </si>
  <si>
    <t>TRX-0020</t>
  </si>
  <si>
    <t>TRX-0021</t>
  </si>
  <si>
    <t>Susu Ultra</t>
  </si>
  <si>
    <t>TRX-0022</t>
  </si>
  <si>
    <t>TRX-0023</t>
  </si>
  <si>
    <t>Shampo Sunsilk</t>
  </si>
  <si>
    <t>TRX-0024</t>
  </si>
  <si>
    <t>Chitato</t>
  </si>
  <si>
    <t>TRX-0025</t>
  </si>
  <si>
    <t>Agustus</t>
  </si>
  <si>
    <t>TRX-0026</t>
  </si>
  <si>
    <t>November</t>
  </si>
  <si>
    <t>TRX-0027</t>
  </si>
  <si>
    <t>TRX-0028</t>
  </si>
  <si>
    <t>Indomie Goreng</t>
  </si>
  <si>
    <t>TRX-0029</t>
  </si>
  <si>
    <t>TRX-0030</t>
  </si>
  <si>
    <t>Mei</t>
  </si>
  <si>
    <t>Sabun Lifebuoy</t>
  </si>
  <si>
    <t>TRX-0031</t>
  </si>
  <si>
    <t>Gula Pasir 1kg</t>
  </si>
  <si>
    <t>TRX-0032</t>
  </si>
  <si>
    <t>TRX-0033</t>
  </si>
  <si>
    <t>TRX-0034</t>
  </si>
  <si>
    <t>Qtela</t>
  </si>
  <si>
    <t>TRX-0035</t>
  </si>
  <si>
    <t>TRX-0036</t>
  </si>
  <si>
    <t>Hand Sanitizer</t>
  </si>
  <si>
    <t>TRX-0037</t>
  </si>
  <si>
    <t>TRX-0038</t>
  </si>
  <si>
    <t>TRX-0039</t>
  </si>
  <si>
    <t>TRX-0040</t>
  </si>
  <si>
    <t>Saos Sambal</t>
  </si>
  <si>
    <t>TRX-0041</t>
  </si>
  <si>
    <t>TRX-0042</t>
  </si>
  <si>
    <t>TRX-0043</t>
  </si>
  <si>
    <t>TRX-0044</t>
  </si>
  <si>
    <t>TRX-0045</t>
  </si>
  <si>
    <t>TRX-0046</t>
  </si>
  <si>
    <t>TRX-0047</t>
  </si>
  <si>
    <t>TRX-0048</t>
  </si>
  <si>
    <t>TRX-0049</t>
  </si>
  <si>
    <t>TRX-0050</t>
  </si>
  <si>
    <t>TRX-0051</t>
  </si>
  <si>
    <t>TRX-0052</t>
  </si>
  <si>
    <t>TRX-0053</t>
  </si>
  <si>
    <t>Pasta Gigi Pepsodent</t>
  </si>
  <si>
    <t>TRX-0054</t>
  </si>
  <si>
    <t>TRX-0055</t>
  </si>
  <si>
    <t>TRX-0056</t>
  </si>
  <si>
    <t>TRX-0057</t>
  </si>
  <si>
    <t>TRX-0058</t>
  </si>
  <si>
    <t>TRX-0059</t>
  </si>
  <si>
    <t>TRX-0060</t>
  </si>
  <si>
    <t>TRX-0061</t>
  </si>
  <si>
    <t>TRX-0062</t>
  </si>
  <si>
    <t>TRX-0063</t>
  </si>
  <si>
    <t>TRX-0064</t>
  </si>
  <si>
    <t>TRX-0065</t>
  </si>
  <si>
    <t>TRX-0066</t>
  </si>
  <si>
    <t>TRX-0067</t>
  </si>
  <si>
    <t>TRX-0068</t>
  </si>
  <si>
    <t>TRX-0069</t>
  </si>
  <si>
    <t>TRX-0070</t>
  </si>
  <si>
    <t>TRX-0071</t>
  </si>
  <si>
    <t>TRX-0072</t>
  </si>
  <si>
    <t>TRX-0073</t>
  </si>
  <si>
    <t>TRX-0074</t>
  </si>
  <si>
    <t>TRX-0075</t>
  </si>
  <si>
    <t>TRX-0076</t>
  </si>
  <si>
    <t>TRX-0077</t>
  </si>
  <si>
    <t>TRX-0078</t>
  </si>
  <si>
    <t>TRX-0079</t>
  </si>
  <si>
    <t>TRX-0080</t>
  </si>
  <si>
    <t>TRX-0081</t>
  </si>
  <si>
    <t>Kopi Kapal Api</t>
  </si>
  <si>
    <t>TRX-0082</t>
  </si>
  <si>
    <t>TRX-0083</t>
  </si>
  <si>
    <t>TRX-0084</t>
  </si>
  <si>
    <t>TRX-0085</t>
  </si>
  <si>
    <t>TRX-0086</t>
  </si>
  <si>
    <t>TRX-0087</t>
  </si>
  <si>
    <t>TRX-0088</t>
  </si>
  <si>
    <t>TRX-0089</t>
  </si>
  <si>
    <t>TRX-0090</t>
  </si>
  <si>
    <t>TRX-0091</t>
  </si>
  <si>
    <t>TRX-0092</t>
  </si>
  <si>
    <t>Deodorant Rexona</t>
  </si>
  <si>
    <t>TRX-0093</t>
  </si>
  <si>
    <t>TRX-0094</t>
  </si>
  <si>
    <t>TRX-0095</t>
  </si>
  <si>
    <t>TRX-0096</t>
  </si>
  <si>
    <t>TRX-0097</t>
  </si>
  <si>
    <t>TRX-0098</t>
  </si>
  <si>
    <t>TRX-0099</t>
  </si>
  <si>
    <t>TRX-0100</t>
  </si>
  <si>
    <t>TRX-0101</t>
  </si>
  <si>
    <t>TRX-0102</t>
  </si>
  <si>
    <t>TRX-0103</t>
  </si>
  <si>
    <t>TRX-0104</t>
  </si>
  <si>
    <t>TRX-0105</t>
  </si>
  <si>
    <t>TRX-0106</t>
  </si>
  <si>
    <t>TRX-0107</t>
  </si>
  <si>
    <t>TRX-0108</t>
  </si>
  <si>
    <t>TRX-0109</t>
  </si>
  <si>
    <t>TRX-0110</t>
  </si>
  <si>
    <t>TRX-0111</t>
  </si>
  <si>
    <t>TRX-0112</t>
  </si>
  <si>
    <t>TRX-0113</t>
  </si>
  <si>
    <t>TRX-0114</t>
  </si>
  <si>
    <t>TRX-0115</t>
  </si>
  <si>
    <t>TRX-0116</t>
  </si>
  <si>
    <t>TRX-0117</t>
  </si>
  <si>
    <t>TRX-0118</t>
  </si>
  <si>
    <t>TRX-0119</t>
  </si>
  <si>
    <t>TRX-0120</t>
  </si>
  <si>
    <t>TRX-0121</t>
  </si>
  <si>
    <t>TRX-0122</t>
  </si>
  <si>
    <t>TRX-0123</t>
  </si>
  <si>
    <t>TRX-0124</t>
  </si>
  <si>
    <t>TRX-0125</t>
  </si>
  <si>
    <t>TRX-0126</t>
  </si>
  <si>
    <t>TRX-0127</t>
  </si>
  <si>
    <t>TRX-0128</t>
  </si>
  <si>
    <t>TRX-0129</t>
  </si>
  <si>
    <t>TRX-0130</t>
  </si>
  <si>
    <t>TRX-0131</t>
  </si>
  <si>
    <t>TRX-0132</t>
  </si>
  <si>
    <t>TRX-0133</t>
  </si>
  <si>
    <t>TRX-0134</t>
  </si>
  <si>
    <t>TRX-0135</t>
  </si>
  <si>
    <t>TRX-0136</t>
  </si>
  <si>
    <t>TRX-0137</t>
  </si>
  <si>
    <t>TRX-0138</t>
  </si>
  <si>
    <t>TRX-0139</t>
  </si>
  <si>
    <t>TRX-0140</t>
  </si>
  <si>
    <t>TRX-0141</t>
  </si>
  <si>
    <t>TRX-0142</t>
  </si>
  <si>
    <t>TRX-0143</t>
  </si>
  <si>
    <t>TRX-0144</t>
  </si>
  <si>
    <t>TRX-0145</t>
  </si>
  <si>
    <t>TRX-0146</t>
  </si>
  <si>
    <t>TRX-0147</t>
  </si>
  <si>
    <t>TRX-0148</t>
  </si>
  <si>
    <t>TRX-0149</t>
  </si>
  <si>
    <t>TRX-0150</t>
  </si>
  <si>
    <t>TRX-0151</t>
  </si>
  <si>
    <t>TRX-0152</t>
  </si>
  <si>
    <t>TRX-0153</t>
  </si>
  <si>
    <t>TRX-0154</t>
  </si>
  <si>
    <t>TRX-0155</t>
  </si>
  <si>
    <t>TRX-0156</t>
  </si>
  <si>
    <t>TRX-0157</t>
  </si>
  <si>
    <t>TRX-0158</t>
  </si>
  <si>
    <t>TRX-0159</t>
  </si>
  <si>
    <t>TRX-0160</t>
  </si>
  <si>
    <t>TRX-0161</t>
  </si>
  <si>
    <t>TRX-0162</t>
  </si>
  <si>
    <t>TRX-0163</t>
  </si>
  <si>
    <t>TRX-0164</t>
  </si>
  <si>
    <t>TRX-0165</t>
  </si>
  <si>
    <t>TRX-0166</t>
  </si>
  <si>
    <t>TRX-0167</t>
  </si>
  <si>
    <t>TRX-0168</t>
  </si>
  <si>
    <t>TRX-0169</t>
  </si>
  <si>
    <t>TRX-0170</t>
  </si>
  <si>
    <t>TRX-0171</t>
  </si>
  <si>
    <t>TRX-0172</t>
  </si>
  <si>
    <t>TRX-0173</t>
  </si>
  <si>
    <t>TRX-0174</t>
  </si>
  <si>
    <t>TRX-0175</t>
  </si>
  <si>
    <t>TRX-0176</t>
  </si>
  <si>
    <t>TRX-0177</t>
  </si>
  <si>
    <t>TRX-0178</t>
  </si>
  <si>
    <t>TRX-0179</t>
  </si>
  <si>
    <t>TRX-0180</t>
  </si>
  <si>
    <t>TRX-0181</t>
  </si>
  <si>
    <t>TRX-0182</t>
  </si>
  <si>
    <t>TRX-0183</t>
  </si>
  <si>
    <t>TRX-0184</t>
  </si>
  <si>
    <t>TRX-0185</t>
  </si>
  <si>
    <t>TRX-0186</t>
  </si>
  <si>
    <t>TRX-0187</t>
  </si>
  <si>
    <t>TRX-0188</t>
  </si>
  <si>
    <t>TRX-0189</t>
  </si>
  <si>
    <t>TRX-0190</t>
  </si>
  <si>
    <t>TRX-0191</t>
  </si>
  <si>
    <t>TRX-0192</t>
  </si>
  <si>
    <t>TRX-0193</t>
  </si>
  <si>
    <t>TRX-0194</t>
  </si>
  <si>
    <t>TRX-0195</t>
  </si>
  <si>
    <t>TRX-0196</t>
  </si>
  <si>
    <t>TRX-0197</t>
  </si>
  <si>
    <t>TRX-0198</t>
  </si>
  <si>
    <t>TRX-0199</t>
  </si>
  <si>
    <t>TRX-0200</t>
  </si>
  <si>
    <t>TRX-0201</t>
  </si>
  <si>
    <t>TRX-0202</t>
  </si>
  <si>
    <t>TRX-0203</t>
  </si>
  <si>
    <t>TRX-0204</t>
  </si>
  <si>
    <t>TRX-0205</t>
  </si>
  <si>
    <t>TRX-0206</t>
  </si>
  <si>
    <t>TRX-0207</t>
  </si>
  <si>
    <t>TRX-0208</t>
  </si>
  <si>
    <t>TRX-0209</t>
  </si>
  <si>
    <t>TRX-0210</t>
  </si>
  <si>
    <t>TRX-0211</t>
  </si>
  <si>
    <t>TRX-0212</t>
  </si>
  <si>
    <t>TRX-0213</t>
  </si>
  <si>
    <t>TRX-0214</t>
  </si>
  <si>
    <t>TRX-0215</t>
  </si>
  <si>
    <t>TRX-0216</t>
  </si>
  <si>
    <t>TRX-0217</t>
  </si>
  <si>
    <t>TRX-0218</t>
  </si>
  <si>
    <t>TRX-0219</t>
  </si>
  <si>
    <t>TRX-0220</t>
  </si>
  <si>
    <t>TRX-0221</t>
  </si>
  <si>
    <t>TRX-0222</t>
  </si>
  <si>
    <t>TRX-0223</t>
  </si>
  <si>
    <t>TRX-0224</t>
  </si>
  <si>
    <t>TRX-0225</t>
  </si>
  <si>
    <t>TRX-0226</t>
  </si>
  <si>
    <t>TRX-0227</t>
  </si>
  <si>
    <t>TRX-0228</t>
  </si>
  <si>
    <t>TRX-0229</t>
  </si>
  <si>
    <t>TRX-0230</t>
  </si>
  <si>
    <t>TRX-0231</t>
  </si>
  <si>
    <t>TRX-0232</t>
  </si>
  <si>
    <t>TRX-0233</t>
  </si>
  <si>
    <t>TRX-0234</t>
  </si>
  <si>
    <t>TRX-0235</t>
  </si>
  <si>
    <t>TRX-0236</t>
  </si>
  <si>
    <t>TRX-0237</t>
  </si>
  <si>
    <t>TRX-0238</t>
  </si>
  <si>
    <t>TRX-0239</t>
  </si>
  <si>
    <t>TRX-0240</t>
  </si>
  <si>
    <t>TRX-0241</t>
  </si>
  <si>
    <t>TRX-0242</t>
  </si>
  <si>
    <t>TRX-0243</t>
  </si>
  <si>
    <t>TRX-0244</t>
  </si>
  <si>
    <t>TRX-0245</t>
  </si>
  <si>
    <t>TRX-0246</t>
  </si>
  <si>
    <t>TRX-0247</t>
  </si>
  <si>
    <t>TRX-0248</t>
  </si>
  <si>
    <t>TRX-0249</t>
  </si>
  <si>
    <t>TRX-0250</t>
  </si>
  <si>
    <t>TRX-0251</t>
  </si>
  <si>
    <t>TRX-0252</t>
  </si>
  <si>
    <t>TRX-0253</t>
  </si>
  <si>
    <t>TRX-0254</t>
  </si>
  <si>
    <t>TRX-0255</t>
  </si>
  <si>
    <t>TRX-0256</t>
  </si>
  <si>
    <t>TRX-0257</t>
  </si>
  <si>
    <t>TRX-0258</t>
  </si>
  <si>
    <t>TRX-0259</t>
  </si>
  <si>
    <t>TRX-0260</t>
  </si>
  <si>
    <t>TRX-0261</t>
  </si>
  <si>
    <t>TRX-0262</t>
  </si>
  <si>
    <t>TRX-0263</t>
  </si>
  <si>
    <t>TRX-0264</t>
  </si>
  <si>
    <t>TRX-0265</t>
  </si>
  <si>
    <t>TRX-0266</t>
  </si>
  <si>
    <t>TRX-0267</t>
  </si>
  <si>
    <t>TRX-0268</t>
  </si>
  <si>
    <t>TRX-0269</t>
  </si>
  <si>
    <t>TRX-0270</t>
  </si>
  <si>
    <t>TRX-0271</t>
  </si>
  <si>
    <t>TRX-0272</t>
  </si>
  <si>
    <t>TRX-0273</t>
  </si>
  <si>
    <t>TRX-0274</t>
  </si>
  <si>
    <t>TRX-0275</t>
  </si>
  <si>
    <t>TRX-0276</t>
  </si>
  <si>
    <t>TRX-0277</t>
  </si>
  <si>
    <t>TRX-0278</t>
  </si>
  <si>
    <t>TRX-0279</t>
  </si>
  <si>
    <t>TRX-0280</t>
  </si>
  <si>
    <t>TRX-0281</t>
  </si>
  <si>
    <t>TRX-0282</t>
  </si>
  <si>
    <t>TRX-0283</t>
  </si>
  <si>
    <t>TRX-0284</t>
  </si>
  <si>
    <t>TRX-0285</t>
  </si>
  <si>
    <t>TRX-0286</t>
  </si>
  <si>
    <t>TRX-0287</t>
  </si>
  <si>
    <t>TRX-0288</t>
  </si>
  <si>
    <t>TRX-0289</t>
  </si>
  <si>
    <t>TRX-0290</t>
  </si>
  <si>
    <t>TRX-0291</t>
  </si>
  <si>
    <t>TRX-0292</t>
  </si>
  <si>
    <t>TRX-0293</t>
  </si>
  <si>
    <t>TRX-0294</t>
  </si>
  <si>
    <t>TRX-0295</t>
  </si>
  <si>
    <t>TRX-0296</t>
  </si>
  <si>
    <t>TRX-0297</t>
  </si>
  <si>
    <t>TRX-0298</t>
  </si>
  <si>
    <t>TRX-0299</t>
  </si>
  <si>
    <t>TRX-0300</t>
  </si>
  <si>
    <t>TRX-0301</t>
  </si>
  <si>
    <t>TRX-0302</t>
  </si>
  <si>
    <t>TRX-0303</t>
  </si>
  <si>
    <t>TRX-0304</t>
  </si>
  <si>
    <t>TRX-0305</t>
  </si>
  <si>
    <t>TRX-0306</t>
  </si>
  <si>
    <t>TRX-0307</t>
  </si>
  <si>
    <t>TRX-0308</t>
  </si>
  <si>
    <t>TRX-0309</t>
  </si>
  <si>
    <t>TRX-0310</t>
  </si>
  <si>
    <t>TRX-0311</t>
  </si>
  <si>
    <t>TRX-0312</t>
  </si>
  <si>
    <t>TRX-0313</t>
  </si>
  <si>
    <t>TRX-0314</t>
  </si>
  <si>
    <t>TRX-0315</t>
  </si>
  <si>
    <t>TRX-0316</t>
  </si>
  <si>
    <t>TRX-0317</t>
  </si>
  <si>
    <t>TRX-0318</t>
  </si>
  <si>
    <t>TRX-0319</t>
  </si>
  <si>
    <t>TRX-0320</t>
  </si>
  <si>
    <t>TRX-0321</t>
  </si>
  <si>
    <t>TRX-0322</t>
  </si>
  <si>
    <t>TRX-0323</t>
  </si>
  <si>
    <t>TRX-0324</t>
  </si>
  <si>
    <t>TRX-0325</t>
  </si>
  <si>
    <t>TRX-0326</t>
  </si>
  <si>
    <t>TRX-0327</t>
  </si>
  <si>
    <t>TRX-0328</t>
  </si>
  <si>
    <t>TRX-0329</t>
  </si>
  <si>
    <t>TRX-0330</t>
  </si>
  <si>
    <t>TRX-0331</t>
  </si>
  <si>
    <t>TRX-0332</t>
  </si>
  <si>
    <t>TRX-0333</t>
  </si>
  <si>
    <t>TRX-0334</t>
  </si>
  <si>
    <t>TRX-0335</t>
  </si>
  <si>
    <t>TRX-0336</t>
  </si>
  <si>
    <t>TRX-0337</t>
  </si>
  <si>
    <t>TRX-0338</t>
  </si>
  <si>
    <t>TRX-0339</t>
  </si>
  <si>
    <t>TRX-0340</t>
  </si>
  <si>
    <t>TRX-0341</t>
  </si>
  <si>
    <t>TRX-0342</t>
  </si>
  <si>
    <t>TRX-0343</t>
  </si>
  <si>
    <t>TRX-0344</t>
  </si>
  <si>
    <t>TRX-0345</t>
  </si>
  <si>
    <t>TRX-0346</t>
  </si>
  <si>
    <t>TRX-0347</t>
  </si>
  <si>
    <t>TRX-0348</t>
  </si>
  <si>
    <t>TRX-0349</t>
  </si>
  <si>
    <t>TRX-0350</t>
  </si>
  <si>
    <t>TRX-0351</t>
  </si>
  <si>
    <t>TRX-0352</t>
  </si>
  <si>
    <t>TRX-0353</t>
  </si>
  <si>
    <t>TRX-0354</t>
  </si>
  <si>
    <t>TRX-0355</t>
  </si>
  <si>
    <t>TRX-0356</t>
  </si>
  <si>
    <t>TRX-0357</t>
  </si>
  <si>
    <t>TRX-0358</t>
  </si>
  <si>
    <t>TRX-0359</t>
  </si>
  <si>
    <t>TRX-0360</t>
  </si>
  <si>
    <t>TRX-0361</t>
  </si>
  <si>
    <t>TRX-0362</t>
  </si>
  <si>
    <t>TRX-0363</t>
  </si>
  <si>
    <t>TRX-0364</t>
  </si>
  <si>
    <t>TRX-0365</t>
  </si>
  <si>
    <t>TRX-0366</t>
  </si>
  <si>
    <t>TRX-0367</t>
  </si>
  <si>
    <t>TRX-0368</t>
  </si>
  <si>
    <t>TRX-0369</t>
  </si>
  <si>
    <t>TRX-0370</t>
  </si>
  <si>
    <t>TRX-0371</t>
  </si>
  <si>
    <t>TRX-0372</t>
  </si>
  <si>
    <t>TRX-0373</t>
  </si>
  <si>
    <t>TRX-0374</t>
  </si>
  <si>
    <t>TRX-0375</t>
  </si>
  <si>
    <t>TRX-0376</t>
  </si>
  <si>
    <t>TRX-0377</t>
  </si>
  <si>
    <t>TRX-0378</t>
  </si>
  <si>
    <t>TRX-0379</t>
  </si>
  <si>
    <t>TRX-0380</t>
  </si>
  <si>
    <t>TRX-0381</t>
  </si>
  <si>
    <t>TRX-0382</t>
  </si>
  <si>
    <t>TRX-0383</t>
  </si>
  <si>
    <t>TRX-0384</t>
  </si>
  <si>
    <t>TRX-0385</t>
  </si>
  <si>
    <t>TRX-0386</t>
  </si>
  <si>
    <t>TRX-0387</t>
  </si>
  <si>
    <t>TRX-0388</t>
  </si>
  <si>
    <t>TRX-0389</t>
  </si>
  <si>
    <t>TRX-0390</t>
  </si>
  <si>
    <t>TRX-0391</t>
  </si>
  <si>
    <t>TRX-0392</t>
  </si>
  <si>
    <t>TRX-0393</t>
  </si>
  <si>
    <t>TRX-0394</t>
  </si>
  <si>
    <t>TRX-0395</t>
  </si>
  <si>
    <t>TRX-0396</t>
  </si>
  <si>
    <t>TRX-0397</t>
  </si>
  <si>
    <t>TRX-0398</t>
  </si>
  <si>
    <t>TRX-0399</t>
  </si>
  <si>
    <t>TRX-0400</t>
  </si>
  <si>
    <t>TRX-0401</t>
  </si>
  <si>
    <t>TRX-0402</t>
  </si>
  <si>
    <t>TRX-0403</t>
  </si>
  <si>
    <t>TRX-0404</t>
  </si>
  <si>
    <t>TRX-0405</t>
  </si>
  <si>
    <t>TRX-0406</t>
  </si>
  <si>
    <t>TRX-0407</t>
  </si>
  <si>
    <t>TRX-0408</t>
  </si>
  <si>
    <t>TRX-0409</t>
  </si>
  <si>
    <t>TRX-0410</t>
  </si>
  <si>
    <t>TRX-0411</t>
  </si>
  <si>
    <t>TRX-0412</t>
  </si>
  <si>
    <t>TRX-0413</t>
  </si>
  <si>
    <t>TRX-0414</t>
  </si>
  <si>
    <t>TRX-0415</t>
  </si>
  <si>
    <t>TRX-0416</t>
  </si>
  <si>
    <t>TRX-0417</t>
  </si>
  <si>
    <t>TRX-0418</t>
  </si>
  <si>
    <t>TRX-0419</t>
  </si>
  <si>
    <t>TRX-0420</t>
  </si>
  <si>
    <t>TRX-0421</t>
  </si>
  <si>
    <t>TRX-0422</t>
  </si>
  <si>
    <t>TRX-0423</t>
  </si>
  <si>
    <t>TRX-0424</t>
  </si>
  <si>
    <t>TRX-0425</t>
  </si>
  <si>
    <t>TRX-0426</t>
  </si>
  <si>
    <t>TRX-0427</t>
  </si>
  <si>
    <t>TRX-0428</t>
  </si>
  <si>
    <t>TRX-0429</t>
  </si>
  <si>
    <t>TRX-0430</t>
  </si>
  <si>
    <t>TRX-0431</t>
  </si>
  <si>
    <t>TRX-0432</t>
  </si>
  <si>
    <t>TRX-0433</t>
  </si>
  <si>
    <t>TRX-0434</t>
  </si>
  <si>
    <t>TRX-0435</t>
  </si>
  <si>
    <t>TRX-0436</t>
  </si>
  <si>
    <t>TRX-0437</t>
  </si>
  <si>
    <t>TRX-0438</t>
  </si>
  <si>
    <t>TRX-0439</t>
  </si>
  <si>
    <t>TRX-0440</t>
  </si>
  <si>
    <t>TRX-0441</t>
  </si>
  <si>
    <t>TRX-0442</t>
  </si>
  <si>
    <t>TRX-0443</t>
  </si>
  <si>
    <t>TRX-0444</t>
  </si>
  <si>
    <t>TRX-0445</t>
  </si>
  <si>
    <t>TRX-0446</t>
  </si>
  <si>
    <t>TRX-0447</t>
  </si>
  <si>
    <t>TRX-0448</t>
  </si>
  <si>
    <t>TRX-0449</t>
  </si>
  <si>
    <t>TRX-0450</t>
  </si>
  <si>
    <t>TRX-0451</t>
  </si>
  <si>
    <t>TRX-0452</t>
  </si>
  <si>
    <t>TRX-0453</t>
  </si>
  <si>
    <t>TRX-0454</t>
  </si>
  <si>
    <t>TRX-0455</t>
  </si>
  <si>
    <t>TRX-0456</t>
  </si>
  <si>
    <t>TRX-0457</t>
  </si>
  <si>
    <t>TRX-0458</t>
  </si>
  <si>
    <t>TRX-0459</t>
  </si>
  <si>
    <t>TRX-0460</t>
  </si>
  <si>
    <t>TRX-0461</t>
  </si>
  <si>
    <t>TRX-0462</t>
  </si>
  <si>
    <t>TRX-0463</t>
  </si>
  <si>
    <t>TRX-0464</t>
  </si>
  <si>
    <t>TRX-0465</t>
  </si>
  <si>
    <t>TRX-0466</t>
  </si>
  <si>
    <t>TRX-0467</t>
  </si>
  <si>
    <t>TRX-0468</t>
  </si>
  <si>
    <t>TRX-0469</t>
  </si>
  <si>
    <t>TRX-0470</t>
  </si>
  <si>
    <t>TRX-0471</t>
  </si>
  <si>
    <t>TRX-0472</t>
  </si>
  <si>
    <t>TRX-0473</t>
  </si>
  <si>
    <t>TRX-0474</t>
  </si>
  <si>
    <t>TRX-0475</t>
  </si>
  <si>
    <t>TRX-0476</t>
  </si>
  <si>
    <t>TRX-0477</t>
  </si>
  <si>
    <t>TRX-0478</t>
  </si>
  <si>
    <t>TRX-0479</t>
  </si>
  <si>
    <t>TRX-0480</t>
  </si>
  <si>
    <t>TRX-0481</t>
  </si>
  <si>
    <t>TRX-0482</t>
  </si>
  <si>
    <t>TRX-0483</t>
  </si>
  <si>
    <t>TRX-0484</t>
  </si>
  <si>
    <t>TRX-0485</t>
  </si>
  <si>
    <t>TRX-0486</t>
  </si>
  <si>
    <t>TRX-0487</t>
  </si>
  <si>
    <t>TRX-0488</t>
  </si>
  <si>
    <t>TRX-0489</t>
  </si>
  <si>
    <t>TRX-0490</t>
  </si>
  <si>
    <t>TRX-0491</t>
  </si>
  <si>
    <t>TRX-0492</t>
  </si>
  <si>
    <t>TRX-0493</t>
  </si>
  <si>
    <t>TRX-0494</t>
  </si>
  <si>
    <t>TRX-0495</t>
  </si>
  <si>
    <t>TRX-0496</t>
  </si>
  <si>
    <t>TRX-0497</t>
  </si>
  <si>
    <t>TRX-0498</t>
  </si>
  <si>
    <t>TRX-0499</t>
  </si>
  <si>
    <t>TRX-0500</t>
  </si>
  <si>
    <t>TRX-0501</t>
  </si>
  <si>
    <t>TRX-0502</t>
  </si>
  <si>
    <t>TRX-0503</t>
  </si>
  <si>
    <t>TRX-0504</t>
  </si>
  <si>
    <t>TRX-0505</t>
  </si>
  <si>
    <t>TRX-0506</t>
  </si>
  <si>
    <t>TRX-0507</t>
  </si>
  <si>
    <t>TRX-0508</t>
  </si>
  <si>
    <t>TRX-0509</t>
  </si>
  <si>
    <t>TRX-0510</t>
  </si>
  <si>
    <t>TRX-0511</t>
  </si>
  <si>
    <t>TRX-0512</t>
  </si>
  <si>
    <t>TRX-0513</t>
  </si>
  <si>
    <t>TRX-0514</t>
  </si>
  <si>
    <t>TRX-0515</t>
  </si>
  <si>
    <t>TRX-0516</t>
  </si>
  <si>
    <t>TRX-0517</t>
  </si>
  <si>
    <t>TRX-0518</t>
  </si>
  <si>
    <t>TRX-0519</t>
  </si>
  <si>
    <t>TRX-0520</t>
  </si>
  <si>
    <t>TRX-0521</t>
  </si>
  <si>
    <t>TRX-0522</t>
  </si>
  <si>
    <t>TRX-0523</t>
  </si>
  <si>
    <t>TRX-0524</t>
  </si>
  <si>
    <t>TRX-0525</t>
  </si>
  <si>
    <t>TRX-0526</t>
  </si>
  <si>
    <t>TRX-0527</t>
  </si>
  <si>
    <t>TRX-0528</t>
  </si>
  <si>
    <t>TRX-0529</t>
  </si>
  <si>
    <t>TRX-0530</t>
  </si>
  <si>
    <t>TRX-0531</t>
  </si>
  <si>
    <t>TRX-0532</t>
  </si>
  <si>
    <t>TRX-0533</t>
  </si>
  <si>
    <t>TRX-0534</t>
  </si>
  <si>
    <t>TRX-0535</t>
  </si>
  <si>
    <t>TRX-0536</t>
  </si>
  <si>
    <t>TRX-0537</t>
  </si>
  <si>
    <t>TRX-0538</t>
  </si>
  <si>
    <t>TRX-0539</t>
  </si>
  <si>
    <t>TRX-0540</t>
  </si>
  <si>
    <t>TRX-0541</t>
  </si>
  <si>
    <t>TRX-0542</t>
  </si>
  <si>
    <t>TRX-0543</t>
  </si>
  <si>
    <t>TRX-0544</t>
  </si>
  <si>
    <t>TRX-0545</t>
  </si>
  <si>
    <t>TRX-0546</t>
  </si>
  <si>
    <t>TRX-0547</t>
  </si>
  <si>
    <t>TRX-0548</t>
  </si>
  <si>
    <t>TRX-0549</t>
  </si>
  <si>
    <t>TRX-0550</t>
  </si>
  <si>
    <t>TRX-0551</t>
  </si>
  <si>
    <t>TRX-0552</t>
  </si>
  <si>
    <t>TRX-0553</t>
  </si>
  <si>
    <t>TRX-0554</t>
  </si>
  <si>
    <t>TRX-0555</t>
  </si>
  <si>
    <t>TRX-0556</t>
  </si>
  <si>
    <t>TRX-0557</t>
  </si>
  <si>
    <t>TRX-0558</t>
  </si>
  <si>
    <t>TRX-0559</t>
  </si>
  <si>
    <t>TRX-0560</t>
  </si>
  <si>
    <t>TRX-0561</t>
  </si>
  <si>
    <t>TRX-0562</t>
  </si>
  <si>
    <t>TRX-0563</t>
  </si>
  <si>
    <t>TRX-0564</t>
  </si>
  <si>
    <t>TRX-0565</t>
  </si>
  <si>
    <t>TRX-0566</t>
  </si>
  <si>
    <t>TRX-0567</t>
  </si>
  <si>
    <t>TRX-0568</t>
  </si>
  <si>
    <t>TRX-0569</t>
  </si>
  <si>
    <t>TRX-0570</t>
  </si>
  <si>
    <t>TRX-0571</t>
  </si>
  <si>
    <t>TRX-0572</t>
  </si>
  <si>
    <t>TRX-0573</t>
  </si>
  <si>
    <t>TRX-0574</t>
  </si>
  <si>
    <t>TRX-0575</t>
  </si>
  <si>
    <t>TRX-0576</t>
  </si>
  <si>
    <t>TRX-0577</t>
  </si>
  <si>
    <t>TRX-0578</t>
  </si>
  <si>
    <t>TRX-0579</t>
  </si>
  <si>
    <t>TRX-0580</t>
  </si>
  <si>
    <t>TRX-0581</t>
  </si>
  <si>
    <t>TRX-0582</t>
  </si>
  <si>
    <t>TRX-0583</t>
  </si>
  <si>
    <t>TRX-0584</t>
  </si>
  <si>
    <t>TRX-0585</t>
  </si>
  <si>
    <t>TRX-0586</t>
  </si>
  <si>
    <t>TRX-0587</t>
  </si>
  <si>
    <t>TRX-0588</t>
  </si>
  <si>
    <t>TRX-0589</t>
  </si>
  <si>
    <t>TRX-0590</t>
  </si>
  <si>
    <t>TRX-0591</t>
  </si>
  <si>
    <t>TRX-0592</t>
  </si>
  <si>
    <t>TRX-0593</t>
  </si>
  <si>
    <t>TRX-0594</t>
  </si>
  <si>
    <t>TRX-0595</t>
  </si>
  <si>
    <t>TRX-0596</t>
  </si>
  <si>
    <t>TRX-0597</t>
  </si>
  <si>
    <t>TRX-0598</t>
  </si>
  <si>
    <t>TRX-0599</t>
  </si>
  <si>
    <t>TRX-0600</t>
  </si>
  <si>
    <t>TRX-0601</t>
  </si>
  <si>
    <t>TRX-0602</t>
  </si>
  <si>
    <t>TRX-0603</t>
  </si>
  <si>
    <t>TRX-0604</t>
  </si>
  <si>
    <t>TRX-0605</t>
  </si>
  <si>
    <t>TRX-0606</t>
  </si>
  <si>
    <t>TRX-0607</t>
  </si>
  <si>
    <t>TRX-0608</t>
  </si>
  <si>
    <t>TRX-0609</t>
  </si>
  <si>
    <t>TRX-0610</t>
  </si>
  <si>
    <t>TRX-0611</t>
  </si>
  <si>
    <t>TRX-0612</t>
  </si>
  <si>
    <t>TRX-0613</t>
  </si>
  <si>
    <t>TRX-0614</t>
  </si>
  <si>
    <t>TRX-0615</t>
  </si>
  <si>
    <t>TRX-0616</t>
  </si>
  <si>
    <t>TRX-0617</t>
  </si>
  <si>
    <t>TRX-0618</t>
  </si>
  <si>
    <t>TRX-0619</t>
  </si>
  <si>
    <t>TRX-0620</t>
  </si>
  <si>
    <t>TRX-0621</t>
  </si>
  <si>
    <t>TRX-0622</t>
  </si>
  <si>
    <t>TRX-0623</t>
  </si>
  <si>
    <t>TRX-0624</t>
  </si>
  <si>
    <t>TRX-0625</t>
  </si>
  <si>
    <t>TRX-0626</t>
  </si>
  <si>
    <t>TRX-0627</t>
  </si>
  <si>
    <t>TRX-0628</t>
  </si>
  <si>
    <t>TRX-0629</t>
  </si>
  <si>
    <t>TRX-0630</t>
  </si>
  <si>
    <t>TRX-0631</t>
  </si>
  <si>
    <t>TRX-0632</t>
  </si>
  <si>
    <t>TRX-0633</t>
  </si>
  <si>
    <t>TRX-0634</t>
  </si>
  <si>
    <t>TRX-0635</t>
  </si>
  <si>
    <t>TRX-0636</t>
  </si>
  <si>
    <t>TRX-0637</t>
  </si>
  <si>
    <t>TRX-0638</t>
  </si>
  <si>
    <t>TRX-0639</t>
  </si>
  <si>
    <t>TRX-0640</t>
  </si>
  <si>
    <t>TRX-0641</t>
  </si>
  <si>
    <t>TRX-0642</t>
  </si>
  <si>
    <t>TRX-0643</t>
  </si>
  <si>
    <t>TRX-0644</t>
  </si>
  <si>
    <t>TRX-0645</t>
  </si>
  <si>
    <t>TRX-0646</t>
  </si>
  <si>
    <t>TRX-0647</t>
  </si>
  <si>
    <t>TRX-0648</t>
  </si>
  <si>
    <t>TRX-0649</t>
  </si>
  <si>
    <t>TRX-0650</t>
  </si>
  <si>
    <t>TRX-0651</t>
  </si>
  <si>
    <t>TRX-0652</t>
  </si>
  <si>
    <t>TRX-0653</t>
  </si>
  <si>
    <t>TRX-0654</t>
  </si>
  <si>
    <t>TRX-0655</t>
  </si>
  <si>
    <t>TRX-0656</t>
  </si>
  <si>
    <t>TRX-0657</t>
  </si>
  <si>
    <t>TRX-0658</t>
  </si>
  <si>
    <t>TRX-0659</t>
  </si>
  <si>
    <t>TRX-0660</t>
  </si>
  <si>
    <t>TRX-0661</t>
  </si>
  <si>
    <t>TRX-0662</t>
  </si>
  <si>
    <t>TRX-0663</t>
  </si>
  <si>
    <t>TRX-0664</t>
  </si>
  <si>
    <t>TRX-0665</t>
  </si>
  <si>
    <t>TRX-0666</t>
  </si>
  <si>
    <t>TRX-0667</t>
  </si>
  <si>
    <t>TRX-0668</t>
  </si>
  <si>
    <t>TRX-0669</t>
  </si>
  <si>
    <t>TRX-0670</t>
  </si>
  <si>
    <t>TRX-0671</t>
  </si>
  <si>
    <t>TRX-0672</t>
  </si>
  <si>
    <t>TRX-0673</t>
  </si>
  <si>
    <t>TRX-0674</t>
  </si>
  <si>
    <t>TRX-0675</t>
  </si>
  <si>
    <t>TRX-0676</t>
  </si>
  <si>
    <t>TRX-0677</t>
  </si>
  <si>
    <t>TRX-0678</t>
  </si>
  <si>
    <t>TRX-0679</t>
  </si>
  <si>
    <t>TRX-0680</t>
  </si>
  <si>
    <t>TRX-0681</t>
  </si>
  <si>
    <t>TRX-0682</t>
  </si>
  <si>
    <t>TRX-0683</t>
  </si>
  <si>
    <t>TRX-0684</t>
  </si>
  <si>
    <t>TRX-0685</t>
  </si>
  <si>
    <t>TRX-0686</t>
  </si>
  <si>
    <t>TRX-0687</t>
  </si>
  <si>
    <t>TRX-0688</t>
  </si>
  <si>
    <t>TRX-0689</t>
  </si>
  <si>
    <t>TRX-0690</t>
  </si>
  <si>
    <t>TRX-0691</t>
  </si>
  <si>
    <t>TRX-0692</t>
  </si>
  <si>
    <t>TRX-0693</t>
  </si>
  <si>
    <t>TRX-0694</t>
  </si>
  <si>
    <t>TRX-0695</t>
  </si>
  <si>
    <t>TRX-0696</t>
  </si>
  <si>
    <t>TRX-0697</t>
  </si>
  <si>
    <t>TRX-0698</t>
  </si>
  <si>
    <t>TRX-0699</t>
  </si>
  <si>
    <t>TRX-0700</t>
  </si>
  <si>
    <t>TRX-0701</t>
  </si>
  <si>
    <t>TRX-0702</t>
  </si>
  <si>
    <t>TRX-0703</t>
  </si>
  <si>
    <t>TRX-0704</t>
  </si>
  <si>
    <t>TRX-0705</t>
  </si>
  <si>
    <t>TRX-0706</t>
  </si>
  <si>
    <t>TRX-0707</t>
  </si>
  <si>
    <t>TRX-0708</t>
  </si>
  <si>
    <t>TRX-0709</t>
  </si>
  <si>
    <t>TRX-0710</t>
  </si>
  <si>
    <t>TRX-0711</t>
  </si>
  <si>
    <t>TRX-0712</t>
  </si>
  <si>
    <t>TRX-0713</t>
  </si>
  <si>
    <t>TRX-0714</t>
  </si>
  <si>
    <t>TRX-0715</t>
  </si>
  <si>
    <t>TRX-0716</t>
  </si>
  <si>
    <t>TRX-0717</t>
  </si>
  <si>
    <t>TRX-0718</t>
  </si>
  <si>
    <t>TRX-0719</t>
  </si>
  <si>
    <t>TRX-0720</t>
  </si>
  <si>
    <t>TRX-0721</t>
  </si>
  <si>
    <t>TRX-0722</t>
  </si>
  <si>
    <t>TRX-0723</t>
  </si>
  <si>
    <t>TRX-0724</t>
  </si>
  <si>
    <t>TRX-0725</t>
  </si>
  <si>
    <t>TRX-0726</t>
  </si>
  <si>
    <t>TRX-0727</t>
  </si>
  <si>
    <t>TRX-0728</t>
  </si>
  <si>
    <t>TRX-0729</t>
  </si>
  <si>
    <t>TRX-0730</t>
  </si>
  <si>
    <t>TRX-0731</t>
  </si>
  <si>
    <t>TRX-0732</t>
  </si>
  <si>
    <t>TRX-0733</t>
  </si>
  <si>
    <t>TRX-0734</t>
  </si>
  <si>
    <t>TRX-0735</t>
  </si>
  <si>
    <t>TRX-0736</t>
  </si>
  <si>
    <t>TRX-0737</t>
  </si>
  <si>
    <t>TRX-0738</t>
  </si>
  <si>
    <t>TRX-0739</t>
  </si>
  <si>
    <t>TRX-0740</t>
  </si>
  <si>
    <t>TRX-0741</t>
  </si>
  <si>
    <t>TRX-0742</t>
  </si>
  <si>
    <t>TRX-0743</t>
  </si>
  <si>
    <t>TRX-0744</t>
  </si>
  <si>
    <t>TRX-0745</t>
  </si>
  <si>
    <t>TRX-0746</t>
  </si>
  <si>
    <t>TRX-0747</t>
  </si>
  <si>
    <t>TRX-0748</t>
  </si>
  <si>
    <t>TRX-0749</t>
  </si>
  <si>
    <t>TRX-0750</t>
  </si>
  <si>
    <t>TRX-0751</t>
  </si>
  <si>
    <t>TRX-0752</t>
  </si>
  <si>
    <t>TRX-0753</t>
  </si>
  <si>
    <t>TRX-0754</t>
  </si>
  <si>
    <t>TRX-0755</t>
  </si>
  <si>
    <t>TRX-0756</t>
  </si>
  <si>
    <t>TRX-0757</t>
  </si>
  <si>
    <t>TRX-0758</t>
  </si>
  <si>
    <t>TRX-0759</t>
  </si>
  <si>
    <t>TRX-0760</t>
  </si>
  <si>
    <t>TRX-0761</t>
  </si>
  <si>
    <t>TRX-0762</t>
  </si>
  <si>
    <t>TRX-0763</t>
  </si>
  <si>
    <t>TRX-0764</t>
  </si>
  <si>
    <t>TRX-0765</t>
  </si>
  <si>
    <t>TRX-0766</t>
  </si>
  <si>
    <t>TRX-0767</t>
  </si>
  <si>
    <t>TRX-0768</t>
  </si>
  <si>
    <t>TRX-0769</t>
  </si>
  <si>
    <t>TRX-0770</t>
  </si>
  <si>
    <t>TRX-0771</t>
  </si>
  <si>
    <t>TRX-0772</t>
  </si>
  <si>
    <t>TRX-0773</t>
  </si>
  <si>
    <t>TRX-0774</t>
  </si>
  <si>
    <t>TRX-0775</t>
  </si>
  <si>
    <t>TRX-0776</t>
  </si>
  <si>
    <t>TRX-0777</t>
  </si>
  <si>
    <t>TRX-0778</t>
  </si>
  <si>
    <t>TRX-0779</t>
  </si>
  <si>
    <t>TRX-0780</t>
  </si>
  <si>
    <t>TRX-0781</t>
  </si>
  <si>
    <t>TRX-0782</t>
  </si>
  <si>
    <t>TRX-0783</t>
  </si>
  <si>
    <t>TRX-0784</t>
  </si>
  <si>
    <t>TRX-0785</t>
  </si>
  <si>
    <t>TRX-0786</t>
  </si>
  <si>
    <t>TRX-0787</t>
  </si>
  <si>
    <t>TRX-0788</t>
  </si>
  <si>
    <t>TRX-0789</t>
  </si>
  <si>
    <t>TRX-0790</t>
  </si>
  <si>
    <t>TRX-0791</t>
  </si>
  <si>
    <t>TRX-0792</t>
  </si>
  <si>
    <t>TRX-0793</t>
  </si>
  <si>
    <t>TRX-0794</t>
  </si>
  <si>
    <t>TRX-0795</t>
  </si>
  <si>
    <t>TRX-0796</t>
  </si>
  <si>
    <t>TRX-0797</t>
  </si>
  <si>
    <t>TRX-0798</t>
  </si>
  <si>
    <t>TRX-0799</t>
  </si>
  <si>
    <t>TRX-0800</t>
  </si>
  <si>
    <t>TRX-0801</t>
  </si>
  <si>
    <t>TRX-0802</t>
  </si>
  <si>
    <t>TRX-0803</t>
  </si>
  <si>
    <t>TRX-0804</t>
  </si>
  <si>
    <t>TRX-0805</t>
  </si>
  <si>
    <t>TRX-0806</t>
  </si>
  <si>
    <t>TRX-0807</t>
  </si>
  <si>
    <t>TRX-0808</t>
  </si>
  <si>
    <t>TRX-0809</t>
  </si>
  <si>
    <t>TRX-0810</t>
  </si>
  <si>
    <t>TRX-0811</t>
  </si>
  <si>
    <t>TRX-0812</t>
  </si>
  <si>
    <t>TRX-0813</t>
  </si>
  <si>
    <t>TRX-0814</t>
  </si>
  <si>
    <t>TRX-0815</t>
  </si>
  <si>
    <t>TRX-0816</t>
  </si>
  <si>
    <t>TRX-0817</t>
  </si>
  <si>
    <t>TRX-0818</t>
  </si>
  <si>
    <t>TRX-0819</t>
  </si>
  <si>
    <t>TRX-0820</t>
  </si>
  <si>
    <t>TRX-0821</t>
  </si>
  <si>
    <t>TRX-0822</t>
  </si>
  <si>
    <t>TRX-0823</t>
  </si>
  <si>
    <t>TRX-0824</t>
  </si>
  <si>
    <t>TRX-0825</t>
  </si>
  <si>
    <t>TRX-0826</t>
  </si>
  <si>
    <t>TRX-0827</t>
  </si>
  <si>
    <t>TRX-0828</t>
  </si>
  <si>
    <t>TRX-0829</t>
  </si>
  <si>
    <t>TRX-0830</t>
  </si>
  <si>
    <t>TRX-0831</t>
  </si>
  <si>
    <t>TRX-0832</t>
  </si>
  <si>
    <t>TRX-0833</t>
  </si>
  <si>
    <t>TRX-0834</t>
  </si>
  <si>
    <t>TRX-0835</t>
  </si>
  <si>
    <t>TRX-0836</t>
  </si>
  <si>
    <t>TRX-0837</t>
  </si>
  <si>
    <t>TRX-0838</t>
  </si>
  <si>
    <t>TRX-0839</t>
  </si>
  <si>
    <t>TRX-0840</t>
  </si>
  <si>
    <t>TRX-0841</t>
  </si>
  <si>
    <t>TRX-0842</t>
  </si>
  <si>
    <t>TRX-0843</t>
  </si>
  <si>
    <t>TRX-0844</t>
  </si>
  <si>
    <t>TRX-0845</t>
  </si>
  <si>
    <t>TRX-0846</t>
  </si>
  <si>
    <t>TRX-0847</t>
  </si>
  <si>
    <t>TRX-0848</t>
  </si>
  <si>
    <t>TRX-0849</t>
  </si>
  <si>
    <t>TRX-0850</t>
  </si>
  <si>
    <t>TRX-0851</t>
  </si>
  <si>
    <t>TRX-0852</t>
  </si>
  <si>
    <t>TRX-0853</t>
  </si>
  <si>
    <t>TRX-0854</t>
  </si>
  <si>
    <t>TRX-0855</t>
  </si>
  <si>
    <t>TRX-0856</t>
  </si>
  <si>
    <t>TRX-0857</t>
  </si>
  <si>
    <t>TRX-0858</t>
  </si>
  <si>
    <t>TRX-0859</t>
  </si>
  <si>
    <t>TRX-0860</t>
  </si>
  <si>
    <t>TRX-0861</t>
  </si>
  <si>
    <t>TRX-0862</t>
  </si>
  <si>
    <t>TRX-0863</t>
  </si>
  <si>
    <t>TRX-0864</t>
  </si>
  <si>
    <t>TRX-0865</t>
  </si>
  <si>
    <t>TRX-0866</t>
  </si>
  <si>
    <t>TRX-0867</t>
  </si>
  <si>
    <t>TRX-0868</t>
  </si>
  <si>
    <t>TRX-0869</t>
  </si>
  <si>
    <t>TRX-0870</t>
  </si>
  <si>
    <t>TRX-0871</t>
  </si>
  <si>
    <t>TRX-0872</t>
  </si>
  <si>
    <t>TRX-0873</t>
  </si>
  <si>
    <t>TRX-0874</t>
  </si>
  <si>
    <t>TRX-0875</t>
  </si>
  <si>
    <t>TRX-0876</t>
  </si>
  <si>
    <t>TRX-0877</t>
  </si>
  <si>
    <t>TRX-0878</t>
  </si>
  <si>
    <t>TRX-0879</t>
  </si>
  <si>
    <t>TRX-0880</t>
  </si>
  <si>
    <t>TRX-0881</t>
  </si>
  <si>
    <t>TRX-0882</t>
  </si>
  <si>
    <t>TRX-0883</t>
  </si>
  <si>
    <t>TRX-0884</t>
  </si>
  <si>
    <t>TRX-0885</t>
  </si>
  <si>
    <t>TRX-0886</t>
  </si>
  <si>
    <t>TRX-0887</t>
  </si>
  <si>
    <t>TRX-0888</t>
  </si>
  <si>
    <t>TRX-0889</t>
  </si>
  <si>
    <t>TRX-0890</t>
  </si>
  <si>
    <t>TRX-0891</t>
  </si>
  <si>
    <t>TRX-0892</t>
  </si>
  <si>
    <t>TRX-0893</t>
  </si>
  <si>
    <t>TRX-0894</t>
  </si>
  <si>
    <t>TRX-0895</t>
  </si>
  <si>
    <t>TRX-0896</t>
  </si>
  <si>
    <t>TRX-0897</t>
  </si>
  <si>
    <t>TRX-0898</t>
  </si>
  <si>
    <t>TRX-0899</t>
  </si>
  <si>
    <t>TRX-0900</t>
  </si>
  <si>
    <t>TRX-0901</t>
  </si>
  <si>
    <t>TRX-0902</t>
  </si>
  <si>
    <t>TRX-0903</t>
  </si>
  <si>
    <t>TRX-0904</t>
  </si>
  <si>
    <t>TRX-0905</t>
  </si>
  <si>
    <t>TRX-0906</t>
  </si>
  <si>
    <t>TRX-0907</t>
  </si>
  <si>
    <t>TRX-0908</t>
  </si>
  <si>
    <t>TRX-0909</t>
  </si>
  <si>
    <t>TRX-0910</t>
  </si>
  <si>
    <t>TRX-0911</t>
  </si>
  <si>
    <t>TRX-0912</t>
  </si>
  <si>
    <t>TRX-0913</t>
  </si>
  <si>
    <t>TRX-0914</t>
  </si>
  <si>
    <t>TRX-0915</t>
  </si>
  <si>
    <t>TRX-0916</t>
  </si>
  <si>
    <t>TRX-0917</t>
  </si>
  <si>
    <t>TRX-0918</t>
  </si>
  <si>
    <t>TRX-0919</t>
  </si>
  <si>
    <t>TRX-0920</t>
  </si>
  <si>
    <t>TRX-0921</t>
  </si>
  <si>
    <t>TRX-0922</t>
  </si>
  <si>
    <t>TRX-0923</t>
  </si>
  <si>
    <t>TRX-0924</t>
  </si>
  <si>
    <t>TRX-0925</t>
  </si>
  <si>
    <t>TRX-0926</t>
  </si>
  <si>
    <t>TRX-0927</t>
  </si>
  <si>
    <t>TRX-0928</t>
  </si>
  <si>
    <t>TRX-0929</t>
  </si>
  <si>
    <t>TRX-0930</t>
  </si>
  <si>
    <t>TRX-0931</t>
  </si>
  <si>
    <t>TRX-0932</t>
  </si>
  <si>
    <t>TRX-0933</t>
  </si>
  <si>
    <t>TRX-0934</t>
  </si>
  <si>
    <t>TRX-0935</t>
  </si>
  <si>
    <t>TRX-0936</t>
  </si>
  <si>
    <t>TRX-0937</t>
  </si>
  <si>
    <t>TRX-0938</t>
  </si>
  <si>
    <t>TRX-0939</t>
  </si>
  <si>
    <t>TRX-0940</t>
  </si>
  <si>
    <t>TRX-0941</t>
  </si>
  <si>
    <t>TRX-0942</t>
  </si>
  <si>
    <t>TRX-0943</t>
  </si>
  <si>
    <t>TRX-0944</t>
  </si>
  <si>
    <t>TRX-0945</t>
  </si>
  <si>
    <t>TRX-0946</t>
  </si>
  <si>
    <t>TRX-0947</t>
  </si>
  <si>
    <t>TRX-0948</t>
  </si>
  <si>
    <t>TRX-0949</t>
  </si>
  <si>
    <t>TRX-0950</t>
  </si>
  <si>
    <t>TRX-0951</t>
  </si>
  <si>
    <t>TRX-0952</t>
  </si>
  <si>
    <t>TRX-0953</t>
  </si>
  <si>
    <t>TRX-0954</t>
  </si>
  <si>
    <t>TRX-0955</t>
  </si>
  <si>
    <t>TRX-0956</t>
  </si>
  <si>
    <t>TRX-0957</t>
  </si>
  <si>
    <t>TRX-0958</t>
  </si>
  <si>
    <t>TRX-0959</t>
  </si>
  <si>
    <t>TRX-0960</t>
  </si>
  <si>
    <t>TRX-0961</t>
  </si>
  <si>
    <t>TRX-0962</t>
  </si>
  <si>
    <t>TRX-0963</t>
  </si>
  <si>
    <t>TRX-0964</t>
  </si>
  <si>
    <t>TRX-0965</t>
  </si>
  <si>
    <t>TRX-0966</t>
  </si>
  <si>
    <t>TRX-0967</t>
  </si>
  <si>
    <t>TRX-0968</t>
  </si>
  <si>
    <t>TRX-0969</t>
  </si>
  <si>
    <t>TRX-0970</t>
  </si>
  <si>
    <t>TRX-0971</t>
  </si>
  <si>
    <t>TRX-0972</t>
  </si>
  <si>
    <t>TRX-0973</t>
  </si>
  <si>
    <t>TRX-0974</t>
  </si>
  <si>
    <t>TRX-0975</t>
  </si>
  <si>
    <t>TRX-0976</t>
  </si>
  <si>
    <t>TRX-0977</t>
  </si>
  <si>
    <t>TRX-0978</t>
  </si>
  <si>
    <t>TRX-0979</t>
  </si>
  <si>
    <t>TRX-0980</t>
  </si>
  <si>
    <t>TRX-0981</t>
  </si>
  <si>
    <t>TRX-0982</t>
  </si>
  <si>
    <t>TRX-0983</t>
  </si>
  <si>
    <t>TRX-0984</t>
  </si>
  <si>
    <t>TRX-0985</t>
  </si>
  <si>
    <t>TRX-0986</t>
  </si>
  <si>
    <t>TRX-0987</t>
  </si>
  <si>
    <t>TRX-0988</t>
  </si>
  <si>
    <t>TRX-0989</t>
  </si>
  <si>
    <t>TRX-0990</t>
  </si>
  <si>
    <t>TRX-0991</t>
  </si>
  <si>
    <t>TRX-0992</t>
  </si>
  <si>
    <t>TRX-0993</t>
  </si>
  <si>
    <t>TRX-0994</t>
  </si>
  <si>
    <t>TRX-0995</t>
  </si>
  <si>
    <t>TRX-0996</t>
  </si>
  <si>
    <t>TRX-0997</t>
  </si>
  <si>
    <t>TRX-0998</t>
  </si>
  <si>
    <t>TRX-0999</t>
  </si>
  <si>
    <t>TRX-1000</t>
  </si>
  <si>
    <t>2024-07-35</t>
  </si>
  <si>
    <t>2024-07-43</t>
  </si>
  <si>
    <t>2023-07-32</t>
  </si>
  <si>
    <t>2024-07-32</t>
  </si>
  <si>
    <t>Row Labels</t>
  </si>
  <si>
    <t>Grand Total</t>
  </si>
  <si>
    <t>Sum of Total Penjualan</t>
  </si>
  <si>
    <t>Sum of Laba Kotor</t>
  </si>
  <si>
    <t>Average of Margin (%)</t>
  </si>
  <si>
    <t>Count of ID Transaksi</t>
  </si>
  <si>
    <t>Average of Rating Pelanggan</t>
  </si>
  <si>
    <t>Metrik</t>
  </si>
  <si>
    <t>Nilai</t>
  </si>
  <si>
    <t>Total Transaksi</t>
  </si>
  <si>
    <t>Total Laba</t>
  </si>
  <si>
    <t>Rata-rata Margin</t>
  </si>
  <si>
    <t>Rata-rata Rating</t>
  </si>
  <si>
    <t>Cabang Terbaik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</si>
</sst>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[$-13809]dd/mm/yyyy;@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rgb="FFFFFFFF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F"/>
      </patternFill>
    </fill>
    <fill>
      <patternFill patternType="solid">
        <fgColor theme="2"/>
        <bgColor indexed="64"/>
      </patternFill>
    </fill>
    <fill>
      <patternFill patternType="solid">
        <fgColor theme="8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60">
    <xf numFmtId="0" fontId="0" fillId="0" borderId="0" xfId="0"/>
    <xf numFmtId="0" fontId="2" fillId="3" borderId="1" xfId="0" applyFont="1" applyFill="1" applyBorder="1"/>
    <xf numFmtId="3" fontId="2" fillId="3" borderId="1" xfId="0" applyNumberFormat="1" applyFont="1" applyFill="1" applyBorder="1"/>
    <xf numFmtId="2" fontId="2" fillId="3" borderId="1" xfId="0" applyNumberFormat="1" applyFont="1" applyFill="1" applyBorder="1"/>
    <xf numFmtId="0" fontId="2" fillId="0" borderId="1" xfId="0" applyFont="1" applyBorder="1"/>
    <xf numFmtId="3" fontId="2" fillId="0" borderId="1" xfId="0" applyNumberFormat="1" applyFont="1" applyBorder="1"/>
    <xf numFmtId="2" fontId="2" fillId="0" borderId="1" xfId="0" applyNumberFormat="1" applyFont="1" applyBorder="1"/>
    <xf numFmtId="14" fontId="2" fillId="3" borderId="1" xfId="0" applyNumberFormat="1" applyFont="1" applyFill="1" applyBorder="1"/>
    <xf numFmtId="14" fontId="2" fillId="0" borderId="1" xfId="0" applyNumberFormat="1" applyFont="1" applyBorder="1"/>
    <xf numFmtId="14" fontId="0" fillId="0" borderId="0" xfId="0" applyNumberFormat="1"/>
    <xf numFmtId="164" fontId="2" fillId="3" borderId="1" xfId="0" applyNumberFormat="1" applyFont="1" applyFill="1" applyBorder="1"/>
    <xf numFmtId="2" fontId="0" fillId="0" borderId="0" xfId="0" applyNumberFormat="1"/>
    <xf numFmtId="14" fontId="3" fillId="2" borderId="5" xfId="0" applyNumberFormat="1" applyFont="1" applyFill="1" applyBorder="1" applyAlignment="1">
      <alignment horizontal="center" vertical="center"/>
    </xf>
    <xf numFmtId="14" fontId="2" fillId="3" borderId="8" xfId="0" applyNumberFormat="1" applyFont="1" applyFill="1" applyBorder="1"/>
    <xf numFmtId="0" fontId="2" fillId="0" borderId="8" xfId="0" applyFont="1" applyBorder="1"/>
    <xf numFmtId="2" fontId="2" fillId="0" borderId="8" xfId="0" applyNumberFormat="1" applyFont="1" applyBorder="1"/>
    <xf numFmtId="49" fontId="1" fillId="2" borderId="4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/>
    <xf numFmtId="49" fontId="2" fillId="0" borderId="2" xfId="0" applyNumberFormat="1" applyFont="1" applyBorder="1"/>
    <xf numFmtId="49" fontId="2" fillId="0" borderId="7" xfId="0" applyNumberFormat="1" applyFont="1" applyBorder="1"/>
    <xf numFmtId="49" fontId="0" fillId="0" borderId="0" xfId="0" applyNumberFormat="1"/>
    <xf numFmtId="49" fontId="1" fillId="2" borderId="5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/>
    <xf numFmtId="49" fontId="2" fillId="0" borderId="1" xfId="0" applyNumberFormat="1" applyFont="1" applyBorder="1"/>
    <xf numFmtId="49" fontId="2" fillId="0" borderId="8" xfId="0" applyNumberFormat="1" applyFont="1" applyBorder="1"/>
    <xf numFmtId="2" fontId="1" fillId="2" borderId="5" xfId="0" applyNumberFormat="1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/>
    <xf numFmtId="1" fontId="2" fillId="0" borderId="1" xfId="0" applyNumberFormat="1" applyFont="1" applyBorder="1"/>
    <xf numFmtId="1" fontId="2" fillId="0" borderId="8" xfId="0" applyNumberFormat="1" applyFont="1" applyBorder="1"/>
    <xf numFmtId="1" fontId="0" fillId="0" borderId="0" xfId="0" applyNumberFormat="1"/>
    <xf numFmtId="49" fontId="1" fillId="2" borderId="5" xfId="1" applyNumberFormat="1" applyFont="1" applyFill="1" applyBorder="1" applyAlignment="1">
      <alignment horizontal="center" vertical="center"/>
    </xf>
    <xf numFmtId="49" fontId="2" fillId="3" borderId="1" xfId="1" applyNumberFormat="1" applyFont="1" applyFill="1" applyBorder="1"/>
    <xf numFmtId="49" fontId="2" fillId="0" borderId="1" xfId="1" applyNumberFormat="1" applyFont="1" applyBorder="1"/>
    <xf numFmtId="49" fontId="2" fillId="0" borderId="8" xfId="1" applyNumberFormat="1" applyFont="1" applyBorder="1"/>
    <xf numFmtId="49" fontId="0" fillId="0" borderId="0" xfId="1" applyNumberFormat="1" applyFont="1"/>
    <xf numFmtId="44" fontId="0" fillId="0" borderId="0" xfId="0" applyNumberFormat="1"/>
    <xf numFmtId="3" fontId="1" fillId="2" borderId="6" xfId="0" applyNumberFormat="1" applyFont="1" applyFill="1" applyBorder="1" applyAlignment="1">
      <alignment horizontal="center" vertical="center"/>
    </xf>
    <xf numFmtId="3" fontId="2" fillId="3" borderId="3" xfId="0" applyNumberFormat="1" applyFont="1" applyFill="1" applyBorder="1"/>
    <xf numFmtId="3" fontId="2" fillId="0" borderId="3" xfId="0" applyNumberFormat="1" applyFont="1" applyBorder="1"/>
    <xf numFmtId="3" fontId="2" fillId="0" borderId="9" xfId="0" applyNumberFormat="1" applyFont="1" applyBorder="1"/>
    <xf numFmtId="3" fontId="0" fillId="0" borderId="0" xfId="0" applyNumberFormat="1"/>
    <xf numFmtId="3" fontId="1" fillId="2" borderId="5" xfId="0" applyNumberFormat="1" applyFont="1" applyFill="1" applyBorder="1" applyAlignment="1">
      <alignment horizontal="center" vertical="center"/>
    </xf>
    <xf numFmtId="3" fontId="2" fillId="0" borderId="8" xfId="0" applyNumberFormat="1" applyFont="1" applyBorder="1"/>
    <xf numFmtId="44" fontId="1" fillId="2" borderId="5" xfId="0" applyNumberFormat="1" applyFont="1" applyFill="1" applyBorder="1" applyAlignment="1">
      <alignment horizontal="center" vertical="center"/>
    </xf>
    <xf numFmtId="44" fontId="2" fillId="3" borderId="1" xfId="0" applyNumberFormat="1" applyFont="1" applyFill="1" applyBorder="1"/>
    <xf numFmtId="44" fontId="2" fillId="0" borderId="1" xfId="0" applyNumberFormat="1" applyFont="1" applyBorder="1"/>
    <xf numFmtId="44" fontId="2" fillId="0" borderId="8" xfId="0" applyNumberFormat="1" applyFont="1" applyBorder="1"/>
    <xf numFmtId="2" fontId="2" fillId="4" borderId="1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Fill="1"/>
    <xf numFmtId="0" fontId="7" fillId="0" borderId="10" xfId="0" applyFont="1" applyBorder="1" applyAlignment="1">
      <alignment horizontal="center" vertical="center" wrapText="1" readingOrder="1"/>
    </xf>
    <xf numFmtId="49" fontId="6" fillId="0" borderId="10" xfId="0" applyNumberFormat="1" applyFont="1" applyBorder="1" applyAlignment="1">
      <alignment vertical="center" wrapText="1" readingOrder="1"/>
    </xf>
    <xf numFmtId="44" fontId="6" fillId="0" borderId="10" xfId="0" applyNumberFormat="1" applyFont="1" applyBorder="1" applyAlignment="1">
      <alignment vertical="center" wrapText="1" readingOrder="1"/>
    </xf>
    <xf numFmtId="2" fontId="6" fillId="0" borderId="10" xfId="0" applyNumberFormat="1" applyFont="1" applyBorder="1" applyAlignment="1">
      <alignment vertical="center" wrapText="1" readingOrder="1"/>
    </xf>
    <xf numFmtId="3" fontId="6" fillId="0" borderId="10" xfId="0" applyNumberFormat="1" applyFont="1" applyBorder="1" applyAlignment="1">
      <alignment vertical="center" wrapText="1" readingOrder="1"/>
    </xf>
    <xf numFmtId="0" fontId="6" fillId="0" borderId="10" xfId="0" applyFont="1" applyBorder="1" applyAlignment="1">
      <alignment vertical="center" wrapText="1" readingOrder="1"/>
    </xf>
    <xf numFmtId="44" fontId="6" fillId="0" borderId="10" xfId="0" applyNumberFormat="1" applyFont="1" applyBorder="1" applyAlignment="1">
      <alignment horizontal="left" vertical="center" wrapText="1" readingOrder="1"/>
    </xf>
    <xf numFmtId="0" fontId="6" fillId="0" borderId="10" xfId="0" applyFont="1" applyBorder="1" applyAlignment="1">
      <alignment horizontal="left" vertical="center" wrapText="1" readingOrder="1"/>
    </xf>
  </cellXfs>
  <cellStyles count="2">
    <cellStyle name="Currency" xfId="1" builtinId="4"/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Rp&quot;* #,##0.00_-;\-&quot;Rp&quot;* #,##0.00_-;_-&quot;Rp&quot;* &quot;-&quot;??_-;_-@_-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Rp&quot;* #,##0.00_-;\-&quot;Rp&quot;* #,##0.00_-;_-&quot;Rp&quot;* &quot;-&quot;??_-;_-@_-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Rp&quot;* #,##0.00_-;\-&quot;Rp&quot;* #,##0.00_-;_-&quot;Rp&quot;* &quot;-&quot;??_-;_-@_-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Rp&quot;* #,##0.00_-;\-&quot;Rp&quot;* #,##0.00_-;_-&quot;Rp&quot;* &quot;-&quot;??_-;_-@_-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  <fill>
        <patternFill patternType="solid">
          <fgColor indexed="64"/>
          <bgColor rgb="FFEEF2FF"/>
        </patternFill>
      </fill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border diagonalUp="0" diagonalDown="0" outline="0"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colors>
    <mruColors>
      <color rgb="FF576A8F"/>
      <color rgb="FFB35656"/>
      <color rgb="FFFAB95B"/>
      <color rgb="FFBED4CB"/>
      <color rgb="FFF6F09F"/>
      <color rgb="FFE1D9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[Supermarket_DataMentah.xlsx]Pivot Tables!PivotTable1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/>
              <a:t>Tren Penjualan per Bulan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B35656"/>
            </a:solidFill>
            <a:round/>
          </a:ln>
          <a:effectLst/>
        </c:spPr>
        <c:marker>
          <c:symbol val="circle"/>
          <c:size val="5"/>
          <c:spPr>
            <a:solidFill>
              <a:srgbClr val="F6F09F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B3565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6F09F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Tables'!$A$2:$A$14</c:f>
              <c:strCache>
                <c:ptCount val="12"/>
                <c:pt idx="0">
                  <c:v>April</c:v>
                </c:pt>
                <c:pt idx="1">
                  <c:v>September</c:v>
                </c:pt>
                <c:pt idx="2">
                  <c:v>November</c:v>
                </c:pt>
                <c:pt idx="3">
                  <c:v>Agustus</c:v>
                </c:pt>
                <c:pt idx="4">
                  <c:v>Desember</c:v>
                </c:pt>
                <c:pt idx="5">
                  <c:v>Februari</c:v>
                </c:pt>
                <c:pt idx="6">
                  <c:v>Januari</c:v>
                </c:pt>
                <c:pt idx="7">
                  <c:v>Juli</c:v>
                </c:pt>
                <c:pt idx="8">
                  <c:v>Juni</c:v>
                </c:pt>
                <c:pt idx="9">
                  <c:v>Maret</c:v>
                </c:pt>
                <c:pt idx="10">
                  <c:v>Mei</c:v>
                </c:pt>
                <c:pt idx="11">
                  <c:v>Oktober</c:v>
                </c:pt>
              </c:strCache>
            </c:strRef>
          </c:cat>
          <c:val>
            <c:numRef>
              <c:f>'Pivot Tables'!$B$2:$B$14</c:f>
              <c:numCache>
                <c:formatCode>_("Rp"* #,##0.00_);_("Rp"* \(#,##0.00\);_("Rp"* "-"??_);_(@_)</c:formatCode>
                <c:ptCount val="12"/>
                <c:pt idx="0">
                  <c:v>4990375</c:v>
                </c:pt>
                <c:pt idx="1">
                  <c:v>5361450</c:v>
                </c:pt>
                <c:pt idx="2">
                  <c:v>6669550</c:v>
                </c:pt>
                <c:pt idx="3">
                  <c:v>4684800</c:v>
                </c:pt>
                <c:pt idx="4">
                  <c:v>4233325</c:v>
                </c:pt>
                <c:pt idx="5">
                  <c:v>5057375</c:v>
                </c:pt>
                <c:pt idx="6">
                  <c:v>6073025</c:v>
                </c:pt>
                <c:pt idx="7">
                  <c:v>5941225</c:v>
                </c:pt>
                <c:pt idx="8">
                  <c:v>5659000</c:v>
                </c:pt>
                <c:pt idx="9">
                  <c:v>4550550</c:v>
                </c:pt>
                <c:pt idx="10">
                  <c:v>5833150</c:v>
                </c:pt>
                <c:pt idx="11">
                  <c:v>7122675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24-4769-B3DB-972F0C357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8274048"/>
        <c:axId val="748274528"/>
      </c:lineChart>
      <c:catAx>
        <c:axId val="74827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274528"/>
        <c:crosses val="autoZero"/>
        <c:auto val="1"/>
        <c:lblAlgn val="ctr"/>
        <c:lblOffset val="100"/>
        <c:noMultiLvlLbl val="0"/>
      </c:catAx>
      <c:valAx>
        <c:axId val="74827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p&quot;* #,##0.00_);_(&quot;Rp&quot;* \(#,##0.00\);_(&quot;Rp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27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B35656">
          <a:alpha val="97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[Supermarket_DataMentah.xlsx]Pivot 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/>
              <a:t>Performa Penjualan per Cabang</a:t>
            </a:r>
            <a:endParaRPr lang="en-ID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BED4CB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B35656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F6F09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1D9BC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576A8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Tables'!$E$1</c:f>
              <c:strCache>
                <c:ptCount val="1"/>
                <c:pt idx="0">
                  <c:v>Sum of Total Penjualan</c:v>
                </c:pt>
              </c:strCache>
            </c:strRef>
          </c:tx>
          <c:dPt>
            <c:idx val="0"/>
            <c:bubble3D val="0"/>
            <c:spPr>
              <a:solidFill>
                <a:srgbClr val="BED4C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F1-4848-B346-F35F14B47BBE}"/>
              </c:ext>
            </c:extLst>
          </c:dPt>
          <c:dPt>
            <c:idx val="1"/>
            <c:bubble3D val="0"/>
            <c:spPr>
              <a:solidFill>
                <a:srgbClr val="B3565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F1-4848-B346-F35F14B47BBE}"/>
              </c:ext>
            </c:extLst>
          </c:dPt>
          <c:dPt>
            <c:idx val="2"/>
            <c:bubble3D val="0"/>
            <c:spPr>
              <a:solidFill>
                <a:srgbClr val="F6F09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F1-4848-B346-F35F14B47BBE}"/>
              </c:ext>
            </c:extLst>
          </c:dPt>
          <c:dPt>
            <c:idx val="3"/>
            <c:bubble3D val="0"/>
            <c:spPr>
              <a:solidFill>
                <a:srgbClr val="E1D9B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F1-4848-B346-F35F14B47BBE}"/>
              </c:ext>
            </c:extLst>
          </c:dPt>
          <c:dPt>
            <c:idx val="4"/>
            <c:bubble3D val="0"/>
            <c:spPr>
              <a:solidFill>
                <a:srgbClr val="576A8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F1-4848-B346-F35F14B47BBE}"/>
              </c:ext>
            </c:extLst>
          </c:dPt>
          <c:cat>
            <c:strRef>
              <c:f>'Pivot Tables'!$D$2:$D$7</c:f>
              <c:strCache>
                <c:ptCount val="5"/>
                <c:pt idx="0">
                  <c:v>Batu</c:v>
                </c:pt>
                <c:pt idx="1">
                  <c:v>Kepanjen</c:v>
                </c:pt>
                <c:pt idx="2">
                  <c:v>Lawang</c:v>
                </c:pt>
                <c:pt idx="3">
                  <c:v>Malang Kota</c:v>
                </c:pt>
                <c:pt idx="4">
                  <c:v>Singosari</c:v>
                </c:pt>
              </c:strCache>
            </c:strRef>
          </c:cat>
          <c:val>
            <c:numRef>
              <c:f>'Pivot Tables'!$E$2:$E$7</c:f>
              <c:numCache>
                <c:formatCode>_("Rp"* #,##0.00_);_("Rp"* \(#,##0.00\);_("Rp"* "-"??_);_(@_)</c:formatCode>
                <c:ptCount val="5"/>
                <c:pt idx="0">
                  <c:v>13602775</c:v>
                </c:pt>
                <c:pt idx="1">
                  <c:v>14641150</c:v>
                </c:pt>
                <c:pt idx="2">
                  <c:v>13289850</c:v>
                </c:pt>
                <c:pt idx="3">
                  <c:v>12519975</c:v>
                </c:pt>
                <c:pt idx="4">
                  <c:v>12122750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F1-4848-B346-F35F14B47BBE}"/>
            </c:ext>
          </c:extLst>
        </c:ser>
        <c:ser>
          <c:idx val="1"/>
          <c:order val="1"/>
          <c:tx>
            <c:strRef>
              <c:f>'Pivot Tables'!$F$1</c:f>
              <c:strCache>
                <c:ptCount val="1"/>
                <c:pt idx="0">
                  <c:v>Sum of Laba Kotor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3F1-4848-B346-F35F14B47B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3F1-4848-B346-F35F14B47B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3F1-4848-B346-F35F14B47B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3F1-4848-B346-F35F14B47B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73F1-4848-B346-F35F14B47BBE}"/>
              </c:ext>
            </c:extLst>
          </c:dPt>
          <c:cat>
            <c:strRef>
              <c:f>'Pivot Tables'!$D$2:$D$7</c:f>
              <c:strCache>
                <c:ptCount val="5"/>
                <c:pt idx="0">
                  <c:v>Batu</c:v>
                </c:pt>
                <c:pt idx="1">
                  <c:v>Kepanjen</c:v>
                </c:pt>
                <c:pt idx="2">
                  <c:v>Lawang</c:v>
                </c:pt>
                <c:pt idx="3">
                  <c:v>Malang Kota</c:v>
                </c:pt>
                <c:pt idx="4">
                  <c:v>Singosari</c:v>
                </c:pt>
              </c:strCache>
            </c:strRef>
          </c:cat>
          <c:val>
            <c:numRef>
              <c:f>'Pivot Tables'!$F$2:$F$7</c:f>
              <c:numCache>
                <c:formatCode>_("Rp"* #,##0.00_);_("Rp"* \(#,##0.00\);_("Rp"* "-"??_);_(@_)</c:formatCode>
                <c:ptCount val="5"/>
                <c:pt idx="0">
                  <c:v>4862978</c:v>
                </c:pt>
                <c:pt idx="1">
                  <c:v>5333522</c:v>
                </c:pt>
                <c:pt idx="2">
                  <c:v>4871386</c:v>
                </c:pt>
                <c:pt idx="3">
                  <c:v>4585211</c:v>
                </c:pt>
                <c:pt idx="4">
                  <c:v>4353463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3F1-4848-B346-F35F14B47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AB95B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[Supermarket_DataMentah.xlsx]Pivot Tables!PivotTable3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76A8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AB95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AB95B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Tables'!$E$9</c:f>
              <c:strCache>
                <c:ptCount val="1"/>
                <c:pt idx="0">
                  <c:v>Sum of Total Penjualan</c:v>
                </c:pt>
              </c:strCache>
            </c:strRef>
          </c:tx>
          <c:spPr>
            <a:solidFill>
              <a:srgbClr val="576A8F"/>
            </a:solidFill>
            <a:ln>
              <a:noFill/>
            </a:ln>
            <a:effectLst/>
          </c:spPr>
          <c:invertIfNegative val="0"/>
          <c:cat>
            <c:strRef>
              <c:f>'Pivot Tables'!$D$10:$D$15</c:f>
              <c:strCache>
                <c:ptCount val="5"/>
                <c:pt idx="0">
                  <c:v>Bumbu Dapur</c:v>
                </c:pt>
                <c:pt idx="1">
                  <c:v>Kebersihan</c:v>
                </c:pt>
                <c:pt idx="2">
                  <c:v>Minuman</c:v>
                </c:pt>
                <c:pt idx="3">
                  <c:v>Perawatan</c:v>
                </c:pt>
                <c:pt idx="4">
                  <c:v>Snack</c:v>
                </c:pt>
              </c:strCache>
            </c:strRef>
          </c:cat>
          <c:val>
            <c:numRef>
              <c:f>'Pivot Tables'!$E$10:$E$15</c:f>
              <c:numCache>
                <c:formatCode>_("Rp"* #,##0.00_);_("Rp"* \(#,##0.00\);_("Rp"* "-"??_);_(@_)</c:formatCode>
                <c:ptCount val="5"/>
                <c:pt idx="0">
                  <c:v>13766150</c:v>
                </c:pt>
                <c:pt idx="1">
                  <c:v>16232700</c:v>
                </c:pt>
                <c:pt idx="2">
                  <c:v>7968800</c:v>
                </c:pt>
                <c:pt idx="3">
                  <c:v>17534850</c:v>
                </c:pt>
                <c:pt idx="4">
                  <c:v>10674000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C-40C5-91A1-71E335B89D2E}"/>
            </c:ext>
          </c:extLst>
        </c:ser>
        <c:ser>
          <c:idx val="1"/>
          <c:order val="1"/>
          <c:tx>
            <c:strRef>
              <c:f>'Pivot Tables'!$F$9</c:f>
              <c:strCache>
                <c:ptCount val="1"/>
                <c:pt idx="0">
                  <c:v>Sum of Laba Kotor</c:v>
                </c:pt>
              </c:strCache>
            </c:strRef>
          </c:tx>
          <c:spPr>
            <a:solidFill>
              <a:srgbClr val="FAB95B"/>
            </a:solidFill>
            <a:ln>
              <a:noFill/>
            </a:ln>
            <a:effectLst/>
          </c:spPr>
          <c:invertIfNegative val="0"/>
          <c:cat>
            <c:strRef>
              <c:f>'Pivot Tables'!$D$10:$D$15</c:f>
              <c:strCache>
                <c:ptCount val="5"/>
                <c:pt idx="0">
                  <c:v>Bumbu Dapur</c:v>
                </c:pt>
                <c:pt idx="1">
                  <c:v>Kebersihan</c:v>
                </c:pt>
                <c:pt idx="2">
                  <c:v>Minuman</c:v>
                </c:pt>
                <c:pt idx="3">
                  <c:v>Perawatan</c:v>
                </c:pt>
                <c:pt idx="4">
                  <c:v>Snack</c:v>
                </c:pt>
              </c:strCache>
            </c:strRef>
          </c:cat>
          <c:val>
            <c:numRef>
              <c:f>'Pivot Tables'!$F$10:$F$15</c:f>
              <c:numCache>
                <c:formatCode>_("Rp"* #,##0.00_);_("Rp"* \(#,##0.00\);_("Rp"* "-"??_);_(@_)</c:formatCode>
                <c:ptCount val="5"/>
                <c:pt idx="0">
                  <c:v>4984455</c:v>
                </c:pt>
                <c:pt idx="1">
                  <c:v>5846142</c:v>
                </c:pt>
                <c:pt idx="2">
                  <c:v>2924073</c:v>
                </c:pt>
                <c:pt idx="3">
                  <c:v>6369194</c:v>
                </c:pt>
                <c:pt idx="4">
                  <c:v>3882696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6C-40C5-91A1-71E335B89D2E}"/>
            </c:ext>
          </c:extLst>
        </c:ser>
        <c:ser>
          <c:idx val="2"/>
          <c:order val="2"/>
          <c:tx>
            <c:strRef>
              <c:f>'Pivot Tables'!$G$9</c:f>
              <c:strCache>
                <c:ptCount val="1"/>
                <c:pt idx="0">
                  <c:v>Average of Margin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Tables'!$D$10:$D$15</c:f>
              <c:strCache>
                <c:ptCount val="5"/>
                <c:pt idx="0">
                  <c:v>Bumbu Dapur</c:v>
                </c:pt>
                <c:pt idx="1">
                  <c:v>Kebersihan</c:v>
                </c:pt>
                <c:pt idx="2">
                  <c:v>Minuman</c:v>
                </c:pt>
                <c:pt idx="3">
                  <c:v>Perawatan</c:v>
                </c:pt>
                <c:pt idx="4">
                  <c:v>Snack</c:v>
                </c:pt>
              </c:strCache>
            </c:strRef>
          </c:cat>
          <c:val>
            <c:numRef>
              <c:f>'Pivot Tables'!$G$10:$G$15</c:f>
              <c:numCache>
                <c:formatCode>0.00</c:formatCode>
                <c:ptCount val="5"/>
                <c:pt idx="0">
                  <c:v>36.586203208556157</c:v>
                </c:pt>
                <c:pt idx="1">
                  <c:v>36.325650000000003</c:v>
                </c:pt>
                <c:pt idx="2">
                  <c:v>36.524581280788169</c:v>
                </c:pt>
                <c:pt idx="3">
                  <c:v>36.191094527363191</c:v>
                </c:pt>
                <c:pt idx="4">
                  <c:v>36.48239234449764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6C-40C5-91A1-71E335B89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9872176"/>
        <c:axId val="929872656"/>
      </c:barChart>
      <c:catAx>
        <c:axId val="929872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872656"/>
        <c:crosses val="autoZero"/>
        <c:auto val="1"/>
        <c:lblAlgn val="ctr"/>
        <c:lblOffset val="100"/>
        <c:noMultiLvlLbl val="0"/>
      </c:catAx>
      <c:valAx>
        <c:axId val="92987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p&quot;* #,##0_);_(&quot;Rp&quot;* \(#,##0\);_(&quot;Rp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87217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B3565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[Supermarket_DataMentah.xlsx]Pivot 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1" i="0" u="none" strike="noStrike" baseline="0"/>
              <a:t>Distribusi Metode Pembayaran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B35656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6F09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BED4CB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576A8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E1D9BC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Tables'!$B$23</c:f>
              <c:strCache>
                <c:ptCount val="1"/>
                <c:pt idx="0">
                  <c:v>Count of ID Transaksi</c:v>
                </c:pt>
              </c:strCache>
            </c:strRef>
          </c:tx>
          <c:dPt>
            <c:idx val="0"/>
            <c:bubble3D val="0"/>
            <c:spPr>
              <a:solidFill>
                <a:srgbClr val="B3565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2C-4978-9D2D-E05659C5F801}"/>
              </c:ext>
            </c:extLst>
          </c:dPt>
          <c:dPt>
            <c:idx val="1"/>
            <c:bubble3D val="0"/>
            <c:spPr>
              <a:solidFill>
                <a:srgbClr val="F6F09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2C-4978-9D2D-E05659C5F801}"/>
              </c:ext>
            </c:extLst>
          </c:dPt>
          <c:dPt>
            <c:idx val="2"/>
            <c:bubble3D val="0"/>
            <c:spPr>
              <a:solidFill>
                <a:srgbClr val="BED4C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2C-4978-9D2D-E05659C5F801}"/>
              </c:ext>
            </c:extLst>
          </c:dPt>
          <c:dPt>
            <c:idx val="3"/>
            <c:bubble3D val="0"/>
            <c:spPr>
              <a:solidFill>
                <a:srgbClr val="576A8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22C-4978-9D2D-E05659C5F801}"/>
              </c:ext>
            </c:extLst>
          </c:dPt>
          <c:dPt>
            <c:idx val="4"/>
            <c:bubble3D val="0"/>
            <c:spPr>
              <a:solidFill>
                <a:srgbClr val="E1D9B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22C-4978-9D2D-E05659C5F801}"/>
              </c:ext>
            </c:extLst>
          </c:dPt>
          <c:cat>
            <c:strRef>
              <c:f>'Pivot Tables'!$A$24:$A$29</c:f>
              <c:strCache>
                <c:ptCount val="5"/>
                <c:pt idx="0">
                  <c:v>Kartu Debit</c:v>
                </c:pt>
                <c:pt idx="1">
                  <c:v>Kartu Kredit</c:v>
                </c:pt>
                <c:pt idx="2">
                  <c:v>QRIS</c:v>
                </c:pt>
                <c:pt idx="3">
                  <c:v>Tunai</c:v>
                </c:pt>
                <c:pt idx="4">
                  <c:v>Voucher</c:v>
                </c:pt>
              </c:strCache>
            </c:strRef>
          </c:cat>
          <c:val>
            <c:numRef>
              <c:f>'Pivot Tables'!$B$24:$B$29</c:f>
              <c:numCache>
                <c:formatCode>General</c:formatCode>
                <c:ptCount val="5"/>
                <c:pt idx="0">
                  <c:v>201</c:v>
                </c:pt>
                <c:pt idx="1">
                  <c:v>192</c:v>
                </c:pt>
                <c:pt idx="2">
                  <c:v>225</c:v>
                </c:pt>
                <c:pt idx="3">
                  <c:v>187</c:v>
                </c:pt>
                <c:pt idx="4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22C-4978-9D2D-E05659C5F801}"/>
            </c:ext>
          </c:extLst>
        </c:ser>
        <c:ser>
          <c:idx val="1"/>
          <c:order val="1"/>
          <c:tx>
            <c:strRef>
              <c:f>'Pivot Tables'!$C$23</c:f>
              <c:strCache>
                <c:ptCount val="1"/>
                <c:pt idx="0">
                  <c:v>Sum of Total Penjualan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A22C-4978-9D2D-E05659C5F8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A22C-4978-9D2D-E05659C5F8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A22C-4978-9D2D-E05659C5F8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A22C-4978-9D2D-E05659C5F8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A22C-4978-9D2D-E05659C5F801}"/>
              </c:ext>
            </c:extLst>
          </c:dPt>
          <c:cat>
            <c:strRef>
              <c:f>'Pivot Tables'!$A$24:$A$29</c:f>
              <c:strCache>
                <c:ptCount val="5"/>
                <c:pt idx="0">
                  <c:v>Kartu Debit</c:v>
                </c:pt>
                <c:pt idx="1">
                  <c:v>Kartu Kredit</c:v>
                </c:pt>
                <c:pt idx="2">
                  <c:v>QRIS</c:v>
                </c:pt>
                <c:pt idx="3">
                  <c:v>Tunai</c:v>
                </c:pt>
                <c:pt idx="4">
                  <c:v>Voucher</c:v>
                </c:pt>
              </c:strCache>
            </c:strRef>
          </c:cat>
          <c:val>
            <c:numRef>
              <c:f>'Pivot Tables'!$C$24:$C$29</c:f>
              <c:numCache>
                <c:formatCode>_("Rp"* #,##0.00_);_("Rp"* \(#,##0.00\);_("Rp"* "-"??_);_(@_)</c:formatCode>
                <c:ptCount val="5"/>
                <c:pt idx="0">
                  <c:v>14009350</c:v>
                </c:pt>
                <c:pt idx="1">
                  <c:v>12662325</c:v>
                </c:pt>
                <c:pt idx="2">
                  <c:v>14678550</c:v>
                </c:pt>
                <c:pt idx="3">
                  <c:v>12486525</c:v>
                </c:pt>
                <c:pt idx="4">
                  <c:v>12339750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22C-4978-9D2D-E05659C5F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576A8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[Supermarket_DataMentah.xlsx]Pivot Tables!PivotTable5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B3565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Tables'!$B$18</c:f>
              <c:strCache>
                <c:ptCount val="1"/>
                <c:pt idx="0">
                  <c:v>Count of ID Transaksi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Tables'!$A$19:$A$21</c:f>
              <c:strCache>
                <c:ptCount val="2"/>
                <c:pt idx="0">
                  <c:v>Member</c:v>
                </c:pt>
                <c:pt idx="1">
                  <c:v>Non-Member</c:v>
                </c:pt>
              </c:strCache>
            </c:strRef>
          </c:cat>
          <c:val>
            <c:numRef>
              <c:f>'Pivot Tables'!$B$19:$B$21</c:f>
              <c:numCache>
                <c:formatCode>General</c:formatCode>
                <c:ptCount val="2"/>
                <c:pt idx="0">
                  <c:v>523</c:v>
                </c:pt>
                <c:pt idx="1">
                  <c:v>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F-4935-B7D1-963FFCDBE725}"/>
            </c:ext>
          </c:extLst>
        </c:ser>
        <c:ser>
          <c:idx val="1"/>
          <c:order val="1"/>
          <c:tx>
            <c:strRef>
              <c:f>'Pivot Tables'!$C$18</c:f>
              <c:strCache>
                <c:ptCount val="1"/>
                <c:pt idx="0">
                  <c:v>Sum of Total Penjualan</c:v>
                </c:pt>
              </c:strCache>
            </c:strRef>
          </c:tx>
          <c:spPr>
            <a:solidFill>
              <a:srgbClr val="B35656"/>
            </a:solidFill>
            <a:ln>
              <a:noFill/>
            </a:ln>
            <a:effectLst/>
          </c:spPr>
          <c:invertIfNegative val="0"/>
          <c:cat>
            <c:strRef>
              <c:f>'Pivot Tables'!$A$19:$A$21</c:f>
              <c:strCache>
                <c:ptCount val="2"/>
                <c:pt idx="0">
                  <c:v>Member</c:v>
                </c:pt>
                <c:pt idx="1">
                  <c:v>Non-Member</c:v>
                </c:pt>
              </c:strCache>
            </c:strRef>
          </c:cat>
          <c:val>
            <c:numRef>
              <c:f>'Pivot Tables'!$C$19:$C$21</c:f>
              <c:numCache>
                <c:formatCode>_("Rp"* #,##0.00_);_("Rp"* \(#,##0.00\);_("Rp"* "-"??_);_(@_)</c:formatCode>
                <c:ptCount val="2"/>
                <c:pt idx="0">
                  <c:v>34194525</c:v>
                </c:pt>
                <c:pt idx="1">
                  <c:v>31981975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9F-4935-B7D1-963FFCDBE725}"/>
            </c:ext>
          </c:extLst>
        </c:ser>
        <c:ser>
          <c:idx val="2"/>
          <c:order val="2"/>
          <c:tx>
            <c:strRef>
              <c:f>'Pivot Tables'!$D$18</c:f>
              <c:strCache>
                <c:ptCount val="1"/>
                <c:pt idx="0">
                  <c:v>Average of Rating Pelanggan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Tables'!$A$19:$A$21</c:f>
              <c:strCache>
                <c:ptCount val="2"/>
                <c:pt idx="0">
                  <c:v>Member</c:v>
                </c:pt>
                <c:pt idx="1">
                  <c:v>Non-Member</c:v>
                </c:pt>
              </c:strCache>
            </c:strRef>
          </c:cat>
          <c:val>
            <c:numRef>
              <c:f>'Pivot Tables'!$D$19:$D$21</c:f>
              <c:numCache>
                <c:formatCode>#,##0</c:formatCode>
                <c:ptCount val="2"/>
                <c:pt idx="0">
                  <c:v>3.0038240917782026</c:v>
                </c:pt>
                <c:pt idx="1">
                  <c:v>2.9287211740041927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9F-4935-B7D1-963FFCDBE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4730911"/>
        <c:axId val="1684717471"/>
      </c:barChart>
      <c:catAx>
        <c:axId val="168473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717471"/>
        <c:crosses val="autoZero"/>
        <c:auto val="1"/>
        <c:lblAlgn val="ctr"/>
        <c:lblOffset val="100"/>
        <c:noMultiLvlLbl val="0"/>
      </c:catAx>
      <c:valAx>
        <c:axId val="168471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7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B3565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257214</xdr:colOff>
      <xdr:row>4</xdr:row>
      <xdr:rowOff>85481</xdr:rowOff>
    </xdr:from>
    <xdr:to>
      <xdr:col>8</xdr:col>
      <xdr:colOff>24422</xdr:colOff>
      <xdr:row>19</xdr:row>
      <xdr:rowOff>117677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F608CF-1E36-457A-AD03-53370D2593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170498</xdr:colOff>
      <xdr:row>4</xdr:row>
      <xdr:rowOff>80070</xdr:rowOff>
    </xdr:from>
    <xdr:to>
      <xdr:col>15</xdr:col>
      <xdr:colOff>465987</xdr:colOff>
      <xdr:row>19</xdr:row>
      <xdr:rowOff>134327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E5A733-F238-4B93-8554-B808366B1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20</xdr:row>
      <xdr:rowOff>104493</xdr:rowOff>
    </xdr:from>
    <xdr:to>
      <xdr:col>14</xdr:col>
      <xdr:colOff>16076</xdr:colOff>
      <xdr:row>39</xdr:row>
      <xdr:rowOff>160759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0AFE0B-A4F2-427C-A790-70D91004E0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365125</xdr:colOff>
      <xdr:row>20</xdr:row>
      <xdr:rowOff>174625</xdr:rowOff>
    </xdr:from>
    <xdr:to>
      <xdr:col>23</xdr:col>
      <xdr:colOff>142875</xdr:colOff>
      <xdr:row>39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D003B1-B5A8-471F-9DAF-1F2C2CAFF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3</xdr:col>
      <xdr:colOff>59531</xdr:colOff>
      <xdr:row>0</xdr:row>
      <xdr:rowOff>109141</xdr:rowOff>
    </xdr:from>
    <xdr:ext cx="10765233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5D76D59-5BBF-CFF9-1EA3-D8D7DA7DD59A}"/>
            </a:ext>
          </a:extLst>
        </xdr:cNvPr>
        <xdr:cNvSpPr txBox="1"/>
      </xdr:nvSpPr>
      <xdr:spPr>
        <a:xfrm>
          <a:off x="1875234" y="109141"/>
          <a:ext cx="10765233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2800" b="1">
              <a:solidFill>
                <a:schemeClr val="bg1">
                  <a:lumMod val="95000"/>
                </a:schemeClr>
              </a:solidFill>
            </a:rPr>
            <a:t>SALES PERFORMANCE DASHBOARD | Supermarket Retail | 2023–2024</a:t>
          </a:r>
        </a:p>
      </xdr:txBody>
    </xdr:sp>
    <xdr:clientData/>
  </xdr:oneCellAnchor>
  <xdr:twoCellAnchor>
    <xdr:from>
      <xdr:col>15</xdr:col>
      <xdr:colOff>584200</xdr:colOff>
      <xdr:row>4</xdr:row>
      <xdr:rowOff>84665</xdr:rowOff>
    </xdr:from>
    <xdr:to>
      <xdr:col>23</xdr:col>
      <xdr:colOff>135467</xdr:colOff>
      <xdr:row>19</xdr:row>
      <xdr:rowOff>143932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C440A5-E38E-4A6D-94C7-C71B71F79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0.80675</cdr:x>
      <cdr:y>0.10176</cdr:y>
    </cdr:from>
    <cdr:to>
      <cdr:x>0.98124</cdr:x>
      <cdr:y>0.27703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822169E-0671-D5B2-65E1-94237741DA7A}"/>
            </a:ext>
          </a:extLst>
        </cdr:cNvPr>
        <cdr:cNvSpPr txBox="1"/>
      </cdr:nvSpPr>
      <cdr:spPr>
        <a:xfrm xmlns:a="http://schemas.openxmlformats.org/drawingml/2006/main">
          <a:off x="6912659" y="363168"/>
          <a:ext cx="1495064" cy="6255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ID" sz="1500" b="1"/>
            <a:t>Penjualan &amp;</a:t>
          </a:r>
          <a:r>
            <a:rPr lang="en-ID" sz="1500" b="1" baseline="0"/>
            <a:t> </a:t>
          </a:r>
        </a:p>
        <a:p xmlns:a="http://schemas.openxmlformats.org/drawingml/2006/main">
          <a:pPr algn="r"/>
          <a:r>
            <a:rPr lang="en-ID" sz="1500" b="1"/>
            <a:t>Laba per Kategori</a:t>
          </a:r>
          <a:endParaRPr lang="en-ID" sz="1500" b="1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aal" refreshedDate="46138.648952430558" createdVersion="8" refreshedVersion="8" minRefreshableVersion="3" recordCount="1000" xr:uid="{6E69557A-EA76-4149-8F0F-8822BC292B20}">
  <cacheSource type="worksheet">
    <worksheetSource name="Table1"/>
  </cacheSource>
  <cacheFields count="21">
    <cacheField name="ID Transaksi" numFmtId="49">
      <sharedItems count="1000">
        <s v="TRX-0001"/>
        <s v="TRX-0002"/>
        <s v="TRX-0003"/>
        <s v="TRX-0004"/>
        <s v="TRX-0005"/>
        <s v="TRX-0006"/>
        <s v="TRX-0007"/>
        <s v="TRX-0008"/>
        <s v="TRX-0009"/>
        <s v="TRX-0010"/>
        <s v="TRX-0011"/>
        <s v="TRX-0012"/>
        <s v="TRX-0013"/>
        <s v="TRX-0014"/>
        <s v="TRX-0015"/>
        <s v="TRX-0016"/>
        <s v="TRX-0017"/>
        <s v="TRX-0018"/>
        <s v="TRX-0019"/>
        <s v="TRX-0020"/>
        <s v="TRX-0021"/>
        <s v="TRX-0022"/>
        <s v="TRX-0023"/>
        <s v="TRX-0024"/>
        <s v="TRX-0025"/>
        <s v="TRX-0026"/>
        <s v="TRX-0027"/>
        <s v="TRX-0028"/>
        <s v="TRX-0029"/>
        <s v="TRX-0030"/>
        <s v="TRX-0031"/>
        <s v="TRX-0032"/>
        <s v="TRX-0033"/>
        <s v="TRX-0034"/>
        <s v="TRX-0035"/>
        <s v="TRX-0036"/>
        <s v="TRX-0037"/>
        <s v="TRX-0038"/>
        <s v="TRX-0039"/>
        <s v="TRX-0040"/>
        <s v="TRX-0041"/>
        <s v="TRX-0042"/>
        <s v="TRX-0043"/>
        <s v="TRX-0044"/>
        <s v="TRX-0045"/>
        <s v="TRX-0046"/>
        <s v="TRX-0047"/>
        <s v="TRX-0048"/>
        <s v="TRX-0049"/>
        <s v="TRX-0050"/>
        <s v="TRX-0051"/>
        <s v="TRX-0052"/>
        <s v="TRX-0053"/>
        <s v="TRX-0054"/>
        <s v="TRX-0055"/>
        <s v="TRX-0056"/>
        <s v="TRX-0057"/>
        <s v="TRX-0058"/>
        <s v="TRX-0059"/>
        <s v="TRX-0060"/>
        <s v="TRX-0061"/>
        <s v="TRX-0062"/>
        <s v="TRX-0063"/>
        <s v="TRX-0064"/>
        <s v="TRX-0065"/>
        <s v="TRX-0066"/>
        <s v="TRX-0067"/>
        <s v="TRX-0068"/>
        <s v="TRX-0069"/>
        <s v="TRX-0070"/>
        <s v="TRX-0071"/>
        <s v="TRX-0072"/>
        <s v="TRX-0073"/>
        <s v="TRX-0074"/>
        <s v="TRX-0075"/>
        <s v="TRX-0076"/>
        <s v="TRX-0077"/>
        <s v="TRX-0078"/>
        <s v="TRX-0079"/>
        <s v="TRX-0080"/>
        <s v="TRX-0081"/>
        <s v="TRX-0082"/>
        <s v="TRX-0083"/>
        <s v="TRX-0084"/>
        <s v="TRX-0085"/>
        <s v="TRX-0086"/>
        <s v="TRX-0087"/>
        <s v="TRX-0088"/>
        <s v="TRX-0089"/>
        <s v="TRX-0090"/>
        <s v="TRX-0091"/>
        <s v="TRX-0092"/>
        <s v="TRX-0093"/>
        <s v="TRX-0094"/>
        <s v="TRX-0095"/>
        <s v="TRX-0096"/>
        <s v="TRX-0097"/>
        <s v="TRX-0098"/>
        <s v="TRX-0099"/>
        <s v="TRX-0100"/>
        <s v="TRX-0101"/>
        <s v="TRX-0102"/>
        <s v="TRX-0103"/>
        <s v="TRX-0104"/>
        <s v="TRX-0105"/>
        <s v="TRX-0106"/>
        <s v="TRX-0107"/>
        <s v="TRX-0108"/>
        <s v="TRX-0109"/>
        <s v="TRX-0110"/>
        <s v="TRX-0111"/>
        <s v="TRX-0112"/>
        <s v="TRX-0113"/>
        <s v="TRX-0114"/>
        <s v="TRX-0115"/>
        <s v="TRX-0116"/>
        <s v="TRX-0117"/>
        <s v="TRX-0118"/>
        <s v="TRX-0119"/>
        <s v="TRX-0120"/>
        <s v="TRX-0121"/>
        <s v="TRX-0122"/>
        <s v="TRX-0123"/>
        <s v="TRX-0124"/>
        <s v="TRX-0125"/>
        <s v="TRX-0126"/>
        <s v="TRX-0127"/>
        <s v="TRX-0128"/>
        <s v="TRX-0129"/>
        <s v="TRX-0130"/>
        <s v="TRX-0131"/>
        <s v="TRX-0132"/>
        <s v="TRX-0133"/>
        <s v="TRX-0134"/>
        <s v="TRX-0135"/>
        <s v="TRX-0136"/>
        <s v="TRX-0137"/>
        <s v="TRX-0138"/>
        <s v="TRX-0139"/>
        <s v="TRX-0140"/>
        <s v="TRX-0141"/>
        <s v="TRX-0142"/>
        <s v="TRX-0143"/>
        <s v="TRX-0144"/>
        <s v="TRX-0145"/>
        <s v="TRX-0146"/>
        <s v="TRX-0147"/>
        <s v="TRX-0148"/>
        <s v="TRX-0149"/>
        <s v="TRX-0150"/>
        <s v="TRX-0151"/>
        <s v="TRX-0152"/>
        <s v="TRX-0153"/>
        <s v="TRX-0154"/>
        <s v="TRX-0155"/>
        <s v="TRX-0156"/>
        <s v="TRX-0157"/>
        <s v="TRX-0158"/>
        <s v="TRX-0159"/>
        <s v="TRX-0160"/>
        <s v="TRX-0161"/>
        <s v="TRX-0162"/>
        <s v="TRX-0163"/>
        <s v="TRX-0164"/>
        <s v="TRX-0165"/>
        <s v="TRX-0166"/>
        <s v="TRX-0167"/>
        <s v="TRX-0168"/>
        <s v="TRX-0169"/>
        <s v="TRX-0170"/>
        <s v="TRX-0171"/>
        <s v="TRX-0172"/>
        <s v="TRX-0173"/>
        <s v="TRX-0174"/>
        <s v="TRX-0175"/>
        <s v="TRX-0176"/>
        <s v="TRX-0177"/>
        <s v="TRX-0178"/>
        <s v="TRX-0179"/>
        <s v="TRX-0180"/>
        <s v="TRX-0181"/>
        <s v="TRX-0182"/>
        <s v="TRX-0183"/>
        <s v="TRX-0184"/>
        <s v="TRX-0185"/>
        <s v="TRX-0186"/>
        <s v="TRX-0187"/>
        <s v="TRX-0188"/>
        <s v="TRX-0189"/>
        <s v="TRX-0190"/>
        <s v="TRX-0191"/>
        <s v="TRX-0192"/>
        <s v="TRX-0193"/>
        <s v="TRX-0194"/>
        <s v="TRX-0195"/>
        <s v="TRX-0196"/>
        <s v="TRX-0197"/>
        <s v="TRX-0198"/>
        <s v="TRX-0199"/>
        <s v="TRX-0200"/>
        <s v="TRX-0201"/>
        <s v="TRX-0202"/>
        <s v="TRX-0203"/>
        <s v="TRX-0204"/>
        <s v="TRX-0205"/>
        <s v="TRX-0206"/>
        <s v="TRX-0207"/>
        <s v="TRX-0208"/>
        <s v="TRX-0209"/>
        <s v="TRX-0210"/>
        <s v="TRX-0211"/>
        <s v="TRX-0212"/>
        <s v="TRX-0213"/>
        <s v="TRX-0214"/>
        <s v="TRX-0215"/>
        <s v="TRX-0216"/>
        <s v="TRX-0217"/>
        <s v="TRX-0218"/>
        <s v="TRX-0219"/>
        <s v="TRX-0220"/>
        <s v="TRX-0221"/>
        <s v="TRX-0222"/>
        <s v="TRX-0223"/>
        <s v="TRX-0224"/>
        <s v="TRX-0225"/>
        <s v="TRX-0226"/>
        <s v="TRX-0227"/>
        <s v="TRX-0228"/>
        <s v="TRX-0229"/>
        <s v="TRX-0230"/>
        <s v="TRX-0231"/>
        <s v="TRX-0232"/>
        <s v="TRX-0233"/>
        <s v="TRX-0234"/>
        <s v="TRX-0235"/>
        <s v="TRX-0236"/>
        <s v="TRX-0237"/>
        <s v="TRX-0238"/>
        <s v="TRX-0239"/>
        <s v="TRX-0240"/>
        <s v="TRX-0241"/>
        <s v="TRX-0242"/>
        <s v="TRX-0243"/>
        <s v="TRX-0244"/>
        <s v="TRX-0245"/>
        <s v="TRX-0246"/>
        <s v="TRX-0247"/>
        <s v="TRX-0248"/>
        <s v="TRX-0249"/>
        <s v="TRX-0250"/>
        <s v="TRX-0251"/>
        <s v="TRX-0252"/>
        <s v="TRX-0253"/>
        <s v="TRX-0254"/>
        <s v="TRX-0255"/>
        <s v="TRX-0256"/>
        <s v="TRX-0257"/>
        <s v="TRX-0258"/>
        <s v="TRX-0259"/>
        <s v="TRX-0260"/>
        <s v="TRX-0261"/>
        <s v="TRX-0262"/>
        <s v="TRX-0263"/>
        <s v="TRX-0264"/>
        <s v="TRX-0265"/>
        <s v="TRX-0266"/>
        <s v="TRX-0267"/>
        <s v="TRX-0268"/>
        <s v="TRX-0269"/>
        <s v="TRX-0270"/>
        <s v="TRX-0271"/>
        <s v="TRX-0272"/>
        <s v="TRX-0273"/>
        <s v="TRX-0274"/>
        <s v="TRX-0275"/>
        <s v="TRX-0276"/>
        <s v="TRX-0277"/>
        <s v="TRX-0278"/>
        <s v="TRX-0279"/>
        <s v="TRX-0280"/>
        <s v="TRX-0281"/>
        <s v="TRX-0282"/>
        <s v="TRX-0283"/>
        <s v="TRX-0284"/>
        <s v="TRX-0285"/>
        <s v="TRX-0286"/>
        <s v="TRX-0287"/>
        <s v="TRX-0288"/>
        <s v="TRX-0289"/>
        <s v="TRX-0290"/>
        <s v="TRX-0291"/>
        <s v="TRX-0292"/>
        <s v="TRX-0293"/>
        <s v="TRX-0294"/>
        <s v="TRX-0295"/>
        <s v="TRX-0296"/>
        <s v="TRX-0297"/>
        <s v="TRX-0298"/>
        <s v="TRX-0299"/>
        <s v="TRX-0300"/>
        <s v="TRX-0301"/>
        <s v="TRX-0302"/>
        <s v="TRX-0303"/>
        <s v="TRX-0304"/>
        <s v="TRX-0305"/>
        <s v="TRX-0306"/>
        <s v="TRX-0307"/>
        <s v="TRX-0308"/>
        <s v="TRX-0309"/>
        <s v="TRX-0310"/>
        <s v="TRX-0311"/>
        <s v="TRX-0312"/>
        <s v="TRX-0313"/>
        <s v="TRX-0314"/>
        <s v="TRX-0315"/>
        <s v="TRX-0316"/>
        <s v="TRX-0317"/>
        <s v="TRX-0318"/>
        <s v="TRX-0319"/>
        <s v="TRX-0320"/>
        <s v="TRX-0321"/>
        <s v="TRX-0322"/>
        <s v="TRX-0323"/>
        <s v="TRX-0324"/>
        <s v="TRX-0325"/>
        <s v="TRX-0326"/>
        <s v="TRX-0327"/>
        <s v="TRX-0328"/>
        <s v="TRX-0329"/>
        <s v="TRX-0330"/>
        <s v="TRX-0331"/>
        <s v="TRX-0332"/>
        <s v="TRX-0333"/>
        <s v="TRX-0334"/>
        <s v="TRX-0335"/>
        <s v="TRX-0336"/>
        <s v="TRX-0337"/>
        <s v="TRX-0338"/>
        <s v="TRX-0339"/>
        <s v="TRX-0340"/>
        <s v="TRX-0341"/>
        <s v="TRX-0342"/>
        <s v="TRX-0343"/>
        <s v="TRX-0344"/>
        <s v="TRX-0345"/>
        <s v="TRX-0346"/>
        <s v="TRX-0347"/>
        <s v="TRX-0348"/>
        <s v="TRX-0349"/>
        <s v="TRX-0350"/>
        <s v="TRX-0351"/>
        <s v="TRX-0352"/>
        <s v="TRX-0353"/>
        <s v="TRX-0354"/>
        <s v="TRX-0355"/>
        <s v="TRX-0356"/>
        <s v="TRX-0357"/>
        <s v="TRX-0358"/>
        <s v="TRX-0359"/>
        <s v="TRX-0360"/>
        <s v="TRX-0361"/>
        <s v="TRX-0362"/>
        <s v="TRX-0363"/>
        <s v="TRX-0364"/>
        <s v="TRX-0365"/>
        <s v="TRX-0366"/>
        <s v="TRX-0367"/>
        <s v="TRX-0368"/>
        <s v="TRX-0369"/>
        <s v="TRX-0370"/>
        <s v="TRX-0371"/>
        <s v="TRX-0372"/>
        <s v="TRX-0373"/>
        <s v="TRX-0374"/>
        <s v="TRX-0375"/>
        <s v="TRX-0376"/>
        <s v="TRX-0377"/>
        <s v="TRX-0378"/>
        <s v="TRX-0379"/>
        <s v="TRX-0380"/>
        <s v="TRX-0381"/>
        <s v="TRX-0382"/>
        <s v="TRX-0383"/>
        <s v="TRX-0384"/>
        <s v="TRX-0385"/>
        <s v="TRX-0386"/>
        <s v="TRX-0387"/>
        <s v="TRX-0388"/>
        <s v="TRX-0389"/>
        <s v="TRX-0390"/>
        <s v="TRX-0391"/>
        <s v="TRX-0392"/>
        <s v="TRX-0393"/>
        <s v="TRX-0394"/>
        <s v="TRX-0395"/>
        <s v="TRX-0396"/>
        <s v="TRX-0397"/>
        <s v="TRX-0398"/>
        <s v="TRX-0399"/>
        <s v="TRX-0400"/>
        <s v="TRX-0401"/>
        <s v="TRX-0402"/>
        <s v="TRX-0403"/>
        <s v="TRX-0404"/>
        <s v="TRX-0405"/>
        <s v="TRX-0406"/>
        <s v="TRX-0407"/>
        <s v="TRX-0408"/>
        <s v="TRX-0409"/>
        <s v="TRX-0410"/>
        <s v="TRX-0411"/>
        <s v="TRX-0412"/>
        <s v="TRX-0413"/>
        <s v="TRX-0414"/>
        <s v="TRX-0415"/>
        <s v="TRX-0416"/>
        <s v="TRX-0417"/>
        <s v="TRX-0418"/>
        <s v="TRX-0419"/>
        <s v="TRX-0420"/>
        <s v="TRX-0421"/>
        <s v="TRX-0422"/>
        <s v="TRX-0423"/>
        <s v="TRX-0424"/>
        <s v="TRX-0425"/>
        <s v="TRX-0426"/>
        <s v="TRX-0427"/>
        <s v="TRX-0428"/>
        <s v="TRX-0429"/>
        <s v="TRX-0430"/>
        <s v="TRX-0431"/>
        <s v="TRX-0432"/>
        <s v="TRX-0433"/>
        <s v="TRX-0434"/>
        <s v="TRX-0435"/>
        <s v="TRX-0436"/>
        <s v="TRX-0437"/>
        <s v="TRX-0438"/>
        <s v="TRX-0439"/>
        <s v="TRX-0440"/>
        <s v="TRX-0441"/>
        <s v="TRX-0442"/>
        <s v="TRX-0443"/>
        <s v="TRX-0444"/>
        <s v="TRX-0445"/>
        <s v="TRX-0446"/>
        <s v="TRX-0447"/>
        <s v="TRX-0448"/>
        <s v="TRX-0449"/>
        <s v="TRX-0450"/>
        <s v="TRX-0451"/>
        <s v="TRX-0452"/>
        <s v="TRX-0453"/>
        <s v="TRX-0454"/>
        <s v="TRX-0455"/>
        <s v="TRX-0456"/>
        <s v="TRX-0457"/>
        <s v="TRX-0458"/>
        <s v="TRX-0459"/>
        <s v="TRX-0460"/>
        <s v="TRX-0461"/>
        <s v="TRX-0462"/>
        <s v="TRX-0463"/>
        <s v="TRX-0464"/>
        <s v="TRX-0465"/>
        <s v="TRX-0466"/>
        <s v="TRX-0467"/>
        <s v="TRX-0468"/>
        <s v="TRX-0469"/>
        <s v="TRX-0470"/>
        <s v="TRX-0471"/>
        <s v="TRX-0472"/>
        <s v="TRX-0473"/>
        <s v="TRX-0474"/>
        <s v="TRX-0475"/>
        <s v="TRX-0476"/>
        <s v="TRX-0477"/>
        <s v="TRX-0478"/>
        <s v="TRX-0479"/>
        <s v="TRX-0480"/>
        <s v="TRX-0481"/>
        <s v="TRX-0482"/>
        <s v="TRX-0483"/>
        <s v="TRX-0484"/>
        <s v="TRX-0485"/>
        <s v="TRX-0486"/>
        <s v="TRX-0487"/>
        <s v="TRX-0488"/>
        <s v="TRX-0489"/>
        <s v="TRX-0490"/>
        <s v="TRX-0491"/>
        <s v="TRX-0492"/>
        <s v="TRX-0493"/>
        <s v="TRX-0494"/>
        <s v="TRX-0495"/>
        <s v="TRX-0496"/>
        <s v="TRX-0497"/>
        <s v="TRX-0498"/>
        <s v="TRX-0499"/>
        <s v="TRX-0500"/>
        <s v="TRX-0501"/>
        <s v="TRX-0502"/>
        <s v="TRX-0503"/>
        <s v="TRX-0504"/>
        <s v="TRX-0505"/>
        <s v="TRX-0506"/>
        <s v="TRX-0507"/>
        <s v="TRX-0508"/>
        <s v="TRX-0509"/>
        <s v="TRX-0510"/>
        <s v="TRX-0511"/>
        <s v="TRX-0512"/>
        <s v="TRX-0513"/>
        <s v="TRX-0514"/>
        <s v="TRX-0515"/>
        <s v="TRX-0516"/>
        <s v="TRX-0517"/>
        <s v="TRX-0518"/>
        <s v="TRX-0519"/>
        <s v="TRX-0520"/>
        <s v="TRX-0521"/>
        <s v="TRX-0522"/>
        <s v="TRX-0523"/>
        <s v="TRX-0524"/>
        <s v="TRX-0525"/>
        <s v="TRX-0526"/>
        <s v="TRX-0527"/>
        <s v="TRX-0528"/>
        <s v="TRX-0529"/>
        <s v="TRX-0530"/>
        <s v="TRX-0531"/>
        <s v="TRX-0532"/>
        <s v="TRX-0533"/>
        <s v="TRX-0534"/>
        <s v="TRX-0535"/>
        <s v="TRX-0536"/>
        <s v="TRX-0537"/>
        <s v="TRX-0538"/>
        <s v="TRX-0539"/>
        <s v="TRX-0540"/>
        <s v="TRX-0541"/>
        <s v="TRX-0542"/>
        <s v="TRX-0543"/>
        <s v="TRX-0544"/>
        <s v="TRX-0545"/>
        <s v="TRX-0546"/>
        <s v="TRX-0547"/>
        <s v="TRX-0548"/>
        <s v="TRX-0549"/>
        <s v="TRX-0550"/>
        <s v="TRX-0551"/>
        <s v="TRX-0552"/>
        <s v="TRX-0553"/>
        <s v="TRX-0554"/>
        <s v="TRX-0555"/>
        <s v="TRX-0556"/>
        <s v="TRX-0557"/>
        <s v="TRX-0558"/>
        <s v="TRX-0559"/>
        <s v="TRX-0560"/>
        <s v="TRX-0561"/>
        <s v="TRX-0562"/>
        <s v="TRX-0563"/>
        <s v="TRX-0564"/>
        <s v="TRX-0565"/>
        <s v="TRX-0566"/>
        <s v="TRX-0567"/>
        <s v="TRX-0568"/>
        <s v="TRX-0569"/>
        <s v="TRX-0570"/>
        <s v="TRX-0571"/>
        <s v="TRX-0572"/>
        <s v="TRX-0573"/>
        <s v="TRX-0574"/>
        <s v="TRX-0575"/>
        <s v="TRX-0576"/>
        <s v="TRX-0577"/>
        <s v="TRX-0578"/>
        <s v="TRX-0579"/>
        <s v="TRX-0580"/>
        <s v="TRX-0581"/>
        <s v="TRX-0582"/>
        <s v="TRX-0583"/>
        <s v="TRX-0584"/>
        <s v="TRX-0585"/>
        <s v="TRX-0586"/>
        <s v="TRX-0587"/>
        <s v="TRX-0588"/>
        <s v="TRX-0589"/>
        <s v="TRX-0590"/>
        <s v="TRX-0591"/>
        <s v="TRX-0592"/>
        <s v="TRX-0593"/>
        <s v="TRX-0594"/>
        <s v="TRX-0595"/>
        <s v="TRX-0596"/>
        <s v="TRX-0597"/>
        <s v="TRX-0598"/>
        <s v="TRX-0599"/>
        <s v="TRX-0600"/>
        <s v="TRX-0601"/>
        <s v="TRX-0602"/>
        <s v="TRX-0603"/>
        <s v="TRX-0604"/>
        <s v="TRX-0605"/>
        <s v="TRX-0606"/>
        <s v="TRX-0607"/>
        <s v="TRX-0608"/>
        <s v="TRX-0609"/>
        <s v="TRX-0610"/>
        <s v="TRX-0611"/>
        <s v="TRX-0612"/>
        <s v="TRX-0613"/>
        <s v="TRX-0614"/>
        <s v="TRX-0615"/>
        <s v="TRX-0616"/>
        <s v="TRX-0617"/>
        <s v="TRX-0618"/>
        <s v="TRX-0619"/>
        <s v="TRX-0620"/>
        <s v="TRX-0621"/>
        <s v="TRX-0622"/>
        <s v="TRX-0623"/>
        <s v="TRX-0624"/>
        <s v="TRX-0625"/>
        <s v="TRX-0626"/>
        <s v="TRX-0627"/>
        <s v="TRX-0628"/>
        <s v="TRX-0629"/>
        <s v="TRX-0630"/>
        <s v="TRX-0631"/>
        <s v="TRX-0632"/>
        <s v="TRX-0633"/>
        <s v="TRX-0634"/>
        <s v="TRX-0635"/>
        <s v="TRX-0636"/>
        <s v="TRX-0637"/>
        <s v="TRX-0638"/>
        <s v="TRX-0639"/>
        <s v="TRX-0640"/>
        <s v="TRX-0641"/>
        <s v="TRX-0642"/>
        <s v="TRX-0643"/>
        <s v="TRX-0644"/>
        <s v="TRX-0645"/>
        <s v="TRX-0646"/>
        <s v="TRX-0647"/>
        <s v="TRX-0648"/>
        <s v="TRX-0649"/>
        <s v="TRX-0650"/>
        <s v="TRX-0651"/>
        <s v="TRX-0652"/>
        <s v="TRX-0653"/>
        <s v="TRX-0654"/>
        <s v="TRX-0655"/>
        <s v="TRX-0656"/>
        <s v="TRX-0657"/>
        <s v="TRX-0658"/>
        <s v="TRX-0659"/>
        <s v="TRX-0660"/>
        <s v="TRX-0661"/>
        <s v="TRX-0662"/>
        <s v="TRX-0663"/>
        <s v="TRX-0664"/>
        <s v="TRX-0665"/>
        <s v="TRX-0666"/>
        <s v="TRX-0667"/>
        <s v="TRX-0668"/>
        <s v="TRX-0669"/>
        <s v="TRX-0670"/>
        <s v="TRX-0671"/>
        <s v="TRX-0672"/>
        <s v="TRX-0673"/>
        <s v="TRX-0674"/>
        <s v="TRX-0675"/>
        <s v="TRX-0676"/>
        <s v="TRX-0677"/>
        <s v="TRX-0678"/>
        <s v="TRX-0679"/>
        <s v="TRX-0680"/>
        <s v="TRX-0681"/>
        <s v="TRX-0682"/>
        <s v="TRX-0683"/>
        <s v="TRX-0684"/>
        <s v="TRX-0685"/>
        <s v="TRX-0686"/>
        <s v="TRX-0687"/>
        <s v="TRX-0688"/>
        <s v="TRX-0689"/>
        <s v="TRX-0690"/>
        <s v="TRX-0691"/>
        <s v="TRX-0692"/>
        <s v="TRX-0693"/>
        <s v="TRX-0694"/>
        <s v="TRX-0695"/>
        <s v="TRX-0696"/>
        <s v="TRX-0697"/>
        <s v="TRX-0698"/>
        <s v="TRX-0699"/>
        <s v="TRX-0700"/>
        <s v="TRX-0701"/>
        <s v="TRX-0702"/>
        <s v="TRX-0703"/>
        <s v="TRX-0704"/>
        <s v="TRX-0705"/>
        <s v="TRX-0706"/>
        <s v="TRX-0707"/>
        <s v="TRX-0708"/>
        <s v="TRX-0709"/>
        <s v="TRX-0710"/>
        <s v="TRX-0711"/>
        <s v="TRX-0712"/>
        <s v="TRX-0713"/>
        <s v="TRX-0714"/>
        <s v="TRX-0715"/>
        <s v="TRX-0716"/>
        <s v="TRX-0717"/>
        <s v="TRX-0718"/>
        <s v="TRX-0719"/>
        <s v="TRX-0720"/>
        <s v="TRX-0721"/>
        <s v="TRX-0722"/>
        <s v="TRX-0723"/>
        <s v="TRX-0724"/>
        <s v="TRX-0725"/>
        <s v="TRX-0726"/>
        <s v="TRX-0727"/>
        <s v="TRX-0728"/>
        <s v="TRX-0729"/>
        <s v="TRX-0730"/>
        <s v="TRX-0731"/>
        <s v="TRX-0732"/>
        <s v="TRX-0733"/>
        <s v="TRX-0734"/>
        <s v="TRX-0735"/>
        <s v="TRX-0736"/>
        <s v="TRX-0737"/>
        <s v="TRX-0738"/>
        <s v="TRX-0739"/>
        <s v="TRX-0740"/>
        <s v="TRX-0741"/>
        <s v="TRX-0742"/>
        <s v="TRX-0743"/>
        <s v="TRX-0744"/>
        <s v="TRX-0745"/>
        <s v="TRX-0746"/>
        <s v="TRX-0747"/>
        <s v="TRX-0748"/>
        <s v="TRX-0749"/>
        <s v="TRX-0750"/>
        <s v="TRX-0751"/>
        <s v="TRX-0752"/>
        <s v="TRX-0753"/>
        <s v="TRX-0754"/>
        <s v="TRX-0755"/>
        <s v="TRX-0756"/>
        <s v="TRX-0757"/>
        <s v="TRX-0758"/>
        <s v="TRX-0759"/>
        <s v="TRX-0760"/>
        <s v="TRX-0761"/>
        <s v="TRX-0762"/>
        <s v="TRX-0763"/>
        <s v="TRX-0764"/>
        <s v="TRX-0765"/>
        <s v="TRX-0766"/>
        <s v="TRX-0767"/>
        <s v="TRX-0768"/>
        <s v="TRX-0769"/>
        <s v="TRX-0770"/>
        <s v="TRX-0771"/>
        <s v="TRX-0772"/>
        <s v="TRX-0773"/>
        <s v="TRX-0774"/>
        <s v="TRX-0775"/>
        <s v="TRX-0776"/>
        <s v="TRX-0777"/>
        <s v="TRX-0778"/>
        <s v="TRX-0779"/>
        <s v="TRX-0780"/>
        <s v="TRX-0781"/>
        <s v="TRX-0782"/>
        <s v="TRX-0783"/>
        <s v="TRX-0784"/>
        <s v="TRX-0785"/>
        <s v="TRX-0786"/>
        <s v="TRX-0787"/>
        <s v="TRX-0788"/>
        <s v="TRX-0789"/>
        <s v="TRX-0790"/>
        <s v="TRX-0791"/>
        <s v="TRX-0792"/>
        <s v="TRX-0793"/>
        <s v="TRX-0794"/>
        <s v="TRX-0795"/>
        <s v="TRX-0796"/>
        <s v="TRX-0797"/>
        <s v="TRX-0798"/>
        <s v="TRX-0799"/>
        <s v="TRX-0800"/>
        <s v="TRX-0801"/>
        <s v="TRX-0802"/>
        <s v="TRX-0803"/>
        <s v="TRX-0804"/>
        <s v="TRX-0805"/>
        <s v="TRX-0806"/>
        <s v="TRX-0807"/>
        <s v="TRX-0808"/>
        <s v="TRX-0809"/>
        <s v="TRX-0810"/>
        <s v="TRX-0811"/>
        <s v="TRX-0812"/>
        <s v="TRX-0813"/>
        <s v="TRX-0814"/>
        <s v="TRX-0815"/>
        <s v="TRX-0816"/>
        <s v="TRX-0817"/>
        <s v="TRX-0818"/>
        <s v="TRX-0819"/>
        <s v="TRX-0820"/>
        <s v="TRX-0821"/>
        <s v="TRX-0822"/>
        <s v="TRX-0823"/>
        <s v="TRX-0824"/>
        <s v="TRX-0825"/>
        <s v="TRX-0826"/>
        <s v="TRX-0827"/>
        <s v="TRX-0828"/>
        <s v="TRX-0829"/>
        <s v="TRX-0830"/>
        <s v="TRX-0831"/>
        <s v="TRX-0832"/>
        <s v="TRX-0833"/>
        <s v="TRX-0834"/>
        <s v="TRX-0835"/>
        <s v="TRX-0836"/>
        <s v="TRX-0837"/>
        <s v="TRX-0838"/>
        <s v="TRX-0839"/>
        <s v="TRX-0840"/>
        <s v="TRX-0841"/>
        <s v="TRX-0842"/>
        <s v="TRX-0843"/>
        <s v="TRX-0844"/>
        <s v="TRX-0845"/>
        <s v="TRX-0846"/>
        <s v="TRX-0847"/>
        <s v="TRX-0848"/>
        <s v="TRX-0849"/>
        <s v="TRX-0850"/>
        <s v="TRX-0851"/>
        <s v="TRX-0852"/>
        <s v="TRX-0853"/>
        <s v="TRX-0854"/>
        <s v="TRX-0855"/>
        <s v="TRX-0856"/>
        <s v="TRX-0857"/>
        <s v="TRX-0858"/>
        <s v="TRX-0859"/>
        <s v="TRX-0860"/>
        <s v="TRX-0861"/>
        <s v="TRX-0862"/>
        <s v="TRX-0863"/>
        <s v="TRX-0864"/>
        <s v="TRX-0865"/>
        <s v="TRX-0866"/>
        <s v="TRX-0867"/>
        <s v="TRX-0868"/>
        <s v="TRX-0869"/>
        <s v="TRX-0870"/>
        <s v="TRX-0871"/>
        <s v="TRX-0872"/>
        <s v="TRX-0873"/>
        <s v="TRX-0874"/>
        <s v="TRX-0875"/>
        <s v="TRX-0876"/>
        <s v="TRX-0877"/>
        <s v="TRX-0878"/>
        <s v="TRX-0879"/>
        <s v="TRX-0880"/>
        <s v="TRX-0881"/>
        <s v="TRX-0882"/>
        <s v="TRX-0883"/>
        <s v="TRX-0884"/>
        <s v="TRX-0885"/>
        <s v="TRX-0886"/>
        <s v="TRX-0887"/>
        <s v="TRX-0888"/>
        <s v="TRX-0889"/>
        <s v="TRX-0890"/>
        <s v="TRX-0891"/>
        <s v="TRX-0892"/>
        <s v="TRX-0893"/>
        <s v="TRX-0894"/>
        <s v="TRX-0895"/>
        <s v="TRX-0896"/>
        <s v="TRX-0897"/>
        <s v="TRX-0898"/>
        <s v="TRX-0899"/>
        <s v="TRX-0900"/>
        <s v="TRX-0901"/>
        <s v="TRX-0902"/>
        <s v="TRX-0903"/>
        <s v="TRX-0904"/>
        <s v="TRX-0905"/>
        <s v="TRX-0906"/>
        <s v="TRX-0907"/>
        <s v="TRX-0908"/>
        <s v="TRX-0909"/>
        <s v="TRX-0910"/>
        <s v="TRX-0911"/>
        <s v="TRX-0912"/>
        <s v="TRX-0913"/>
        <s v="TRX-0914"/>
        <s v="TRX-0915"/>
        <s v="TRX-0916"/>
        <s v="TRX-0917"/>
        <s v="TRX-0918"/>
        <s v="TRX-0919"/>
        <s v="TRX-0920"/>
        <s v="TRX-0921"/>
        <s v="TRX-0922"/>
        <s v="TRX-0923"/>
        <s v="TRX-0924"/>
        <s v="TRX-0925"/>
        <s v="TRX-0926"/>
        <s v="TRX-0927"/>
        <s v="TRX-0928"/>
        <s v="TRX-0929"/>
        <s v="TRX-0930"/>
        <s v="TRX-0931"/>
        <s v="TRX-0932"/>
        <s v="TRX-0933"/>
        <s v="TRX-0934"/>
        <s v="TRX-0935"/>
        <s v="TRX-0936"/>
        <s v="TRX-0937"/>
        <s v="TRX-0938"/>
        <s v="TRX-0939"/>
        <s v="TRX-0940"/>
        <s v="TRX-0941"/>
        <s v="TRX-0942"/>
        <s v="TRX-0943"/>
        <s v="TRX-0944"/>
        <s v="TRX-0945"/>
        <s v="TRX-0946"/>
        <s v="TRX-0947"/>
        <s v="TRX-0948"/>
        <s v="TRX-0949"/>
        <s v="TRX-0950"/>
        <s v="TRX-0951"/>
        <s v="TRX-0952"/>
        <s v="TRX-0953"/>
        <s v="TRX-0954"/>
        <s v="TRX-0955"/>
        <s v="TRX-0956"/>
        <s v="TRX-0957"/>
        <s v="TRX-0958"/>
        <s v="TRX-0959"/>
        <s v="TRX-0960"/>
        <s v="TRX-0961"/>
        <s v="TRX-0962"/>
        <s v="TRX-0963"/>
        <s v="TRX-0964"/>
        <s v="TRX-0965"/>
        <s v="TRX-0966"/>
        <s v="TRX-0967"/>
        <s v="TRX-0968"/>
        <s v="TRX-0969"/>
        <s v="TRX-0970"/>
        <s v="TRX-0971"/>
        <s v="TRX-0972"/>
        <s v="TRX-0973"/>
        <s v="TRX-0974"/>
        <s v="TRX-0975"/>
        <s v="TRX-0976"/>
        <s v="TRX-0977"/>
        <s v="TRX-0978"/>
        <s v="TRX-0979"/>
        <s v="TRX-0980"/>
        <s v="TRX-0981"/>
        <s v="TRX-0982"/>
        <s v="TRX-0983"/>
        <s v="TRX-0984"/>
        <s v="TRX-0985"/>
        <s v="TRX-0986"/>
        <s v="TRX-0987"/>
        <s v="TRX-0988"/>
        <s v="TRX-0989"/>
        <s v="TRX-0990"/>
        <s v="TRX-0991"/>
        <s v="TRX-0992"/>
        <s v="TRX-0993"/>
        <s v="TRX-0994"/>
        <s v="TRX-0995"/>
        <s v="TRX-0996"/>
        <s v="TRX-0997"/>
        <s v="TRX-0998"/>
        <s v="TRX-0999"/>
        <s v="TRX-1000"/>
      </sharedItems>
    </cacheField>
    <cacheField name="Tanggal" numFmtId="0">
      <sharedItems containsDate="1" containsMixedTypes="1" minDate="2023-01-03T00:00:00" maxDate="2024-12-31T00:00:00"/>
    </cacheField>
    <cacheField name="Hari" numFmtId="49">
      <sharedItems/>
    </cacheField>
    <cacheField name="Bulan" numFmtId="49">
      <sharedItems count="12">
        <s v="Oktober"/>
        <s v="April"/>
        <s v="Januari"/>
        <s v="Maret"/>
        <s v="Juli"/>
        <s v="Februari"/>
        <s v="September"/>
        <s v="Juni"/>
        <s v="Desember"/>
        <s v="Agustus"/>
        <s v="November"/>
        <s v="Mei"/>
      </sharedItems>
    </cacheField>
    <cacheField name="Kuartal" numFmtId="49">
      <sharedItems/>
    </cacheField>
    <cacheField name="Tahun" numFmtId="1">
      <sharedItems containsSemiMixedTypes="0" containsString="0" containsNumber="1" containsInteger="1" minValue="2023" maxValue="2024"/>
    </cacheField>
    <cacheField name="Jam Transaksi" numFmtId="49">
      <sharedItems/>
    </cacheField>
    <cacheField name="Nama Produk" numFmtId="49">
      <sharedItems/>
    </cacheField>
    <cacheField name="Kategori" numFmtId="49">
      <sharedItems count="5">
        <s v="Minuman"/>
        <s v="Snack"/>
        <s v="Kebersihan"/>
        <s v="Perawatan"/>
        <s v="Bumbu Dapur"/>
      </sharedItems>
    </cacheField>
    <cacheField name="Harga Satuan" numFmtId="44">
      <sharedItems containsSemiMixedTypes="0" containsString="0" containsNumber="1" containsInteger="1" minValue="3500" maxValue="28000"/>
    </cacheField>
    <cacheField name="Jumlah" numFmtId="0">
      <sharedItems containsSemiMixedTypes="0" containsString="0" containsNumber="1" containsInteger="1" minValue="1" maxValue="10"/>
    </cacheField>
    <cacheField name="Diskon (%)" numFmtId="3">
      <sharedItems containsSemiMixedTypes="0" containsString="0" containsNumber="1" containsInteger="1" minValue="0" maxValue="20"/>
    </cacheField>
    <cacheField name="Total Penjualan" numFmtId="44">
      <sharedItems containsSemiMixedTypes="0" containsString="0" containsNumber="1" containsInteger="1" minValue="3325" maxValue="280000"/>
    </cacheField>
    <cacheField name="HPP" numFmtId="44">
      <sharedItems containsSemiMixedTypes="0" containsString="0" containsNumber="1" containsInteger="1" minValue="2143" maxValue="201135"/>
    </cacheField>
    <cacheField name="Laba Kotor" numFmtId="44">
      <sharedItems containsSemiMixedTypes="0" containsString="0" containsNumber="1" containsInteger="1" minValue="983" maxValue="125013"/>
    </cacheField>
    <cacheField name="Margin (%)" numFmtId="2">
      <sharedItems containsSemiMixedTypes="0" containsString="0" containsNumber="1" minValue="28.03" maxValue="45"/>
    </cacheField>
    <cacheField name="Cabang" numFmtId="49">
      <sharedItems count="5">
        <s v="Malang Kota"/>
        <s v="Kepanjen"/>
        <s v="Lawang"/>
        <s v="Batu"/>
        <s v="Singosari"/>
      </sharedItems>
    </cacheField>
    <cacheField name="Kasir" numFmtId="49">
      <sharedItems/>
    </cacheField>
    <cacheField name="Metode Pembayaran" numFmtId="49">
      <sharedItems count="5">
        <s v="Tunai"/>
        <s v="Kartu Kredit"/>
        <s v="Kartu Debit"/>
        <s v="QRIS"/>
        <s v="Voucher"/>
      </sharedItems>
    </cacheField>
    <cacheField name="Status Member" numFmtId="49">
      <sharedItems count="2">
        <s v="Member"/>
        <s v="Non-Member"/>
      </sharedItems>
    </cacheField>
    <cacheField name="Rating Pelanggan" numFmtId="3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d v="2024-10-16T00:00:00"/>
    <s v="Rabu"/>
    <x v="0"/>
    <s v="Q4"/>
    <n v="2024"/>
    <s v="Malam (20-22)"/>
    <s v="Aqua 1.5L"/>
    <x v="0"/>
    <n v="5000"/>
    <n v="5"/>
    <n v="0"/>
    <n v="25000"/>
    <n v="14699"/>
    <n v="10301"/>
    <n v="41.2"/>
    <x v="0"/>
    <s v="Dewi"/>
    <x v="0"/>
    <x v="0"/>
    <n v="1"/>
  </r>
  <r>
    <x v="1"/>
    <d v="2023-04-06T00:00:00"/>
    <s v="Kamis"/>
    <x v="1"/>
    <s v="Q2"/>
    <n v="2023"/>
    <s v="Siang (12-16)"/>
    <s v="Oreo"/>
    <x v="1"/>
    <n v="10000"/>
    <n v="9"/>
    <n v="10"/>
    <n v="81000"/>
    <n v="44915"/>
    <n v="36085"/>
    <n v="44.55"/>
    <x v="1"/>
    <s v="Dewi"/>
    <x v="1"/>
    <x v="1"/>
    <n v="5"/>
  </r>
  <r>
    <x v="2"/>
    <d v="2023-10-12T00:00:00"/>
    <s v="Kamis"/>
    <x v="0"/>
    <s v="Q4"/>
    <n v="2023"/>
    <s v="Pagi (08-12)"/>
    <s v="Teh Botol"/>
    <x v="0"/>
    <n v="6000"/>
    <n v="7"/>
    <n v="0"/>
    <n v="42000"/>
    <n v="25084"/>
    <n v="16916"/>
    <n v="40.28"/>
    <x v="1"/>
    <s v="Siti"/>
    <x v="0"/>
    <x v="1"/>
    <n v="1"/>
  </r>
  <r>
    <x v="3"/>
    <d v="2024-01-03T00:00:00"/>
    <s v="Rabu"/>
    <x v="2"/>
    <s v="Q1"/>
    <n v="2024"/>
    <s v="Malam (20-22)"/>
    <s v="Softex"/>
    <x v="2"/>
    <n v="18000"/>
    <n v="5"/>
    <n v="20"/>
    <n v="72000"/>
    <n v="40132"/>
    <n v="31868"/>
    <n v="44.26"/>
    <x v="2"/>
    <s v="Dewi"/>
    <x v="0"/>
    <x v="0"/>
    <n v="5"/>
  </r>
  <r>
    <x v="4"/>
    <d v="2023-10-28T00:00:00"/>
    <s v="Sabtu"/>
    <x v="0"/>
    <s v="Q4"/>
    <n v="2023"/>
    <s v="Pagi (08-12)"/>
    <s v="Lip Balm Nivea"/>
    <x v="3"/>
    <n v="18000"/>
    <n v="10"/>
    <n v="0"/>
    <n v="180000"/>
    <n v="120560"/>
    <n v="59440"/>
    <n v="33.020000000000003"/>
    <x v="0"/>
    <s v="Budi"/>
    <x v="2"/>
    <x v="0"/>
    <n v="1"/>
  </r>
  <r>
    <x v="5"/>
    <d v="2024-01-25T00:00:00"/>
    <s v="Kamis"/>
    <x v="2"/>
    <s v="Q1"/>
    <n v="2024"/>
    <s v="Siang (12-16)"/>
    <s v="Deterjen Rinso"/>
    <x v="2"/>
    <n v="22000"/>
    <n v="6"/>
    <n v="0"/>
    <n v="132000"/>
    <n v="80907"/>
    <n v="51093"/>
    <n v="38.71"/>
    <x v="1"/>
    <s v="Siti"/>
    <x v="0"/>
    <x v="0"/>
    <n v="2"/>
  </r>
  <r>
    <x v="6"/>
    <d v="2024-04-18T00:00:00"/>
    <s v="Kamis"/>
    <x v="1"/>
    <s v="Q2"/>
    <n v="2024"/>
    <s v="Sore (16-20)"/>
    <s v="Royco Ayam"/>
    <x v="4"/>
    <n v="5000"/>
    <n v="9"/>
    <n v="0"/>
    <n v="45000"/>
    <n v="29987"/>
    <n v="15013"/>
    <n v="33.36"/>
    <x v="0"/>
    <s v="Budi"/>
    <x v="0"/>
    <x v="1"/>
    <n v="3"/>
  </r>
  <r>
    <x v="7"/>
    <d v="2023-03-09T00:00:00"/>
    <s v="Kamis"/>
    <x v="3"/>
    <s v="Q1"/>
    <n v="2023"/>
    <s v="Sore (16-20)"/>
    <s v="Cheetos"/>
    <x v="1"/>
    <n v="11000"/>
    <n v="6"/>
    <n v="0"/>
    <n v="66000"/>
    <n v="43654"/>
    <n v="22346"/>
    <n v="33.86"/>
    <x v="2"/>
    <s v="Agus"/>
    <x v="3"/>
    <x v="0"/>
    <n v="2"/>
  </r>
  <r>
    <x v="8"/>
    <d v="2024-07-28T00:00:00"/>
    <s v="Minggu"/>
    <x v="4"/>
    <s v="Q3"/>
    <n v="2024"/>
    <s v="Siang (12-16)"/>
    <s v="Lip Balm Nivea"/>
    <x v="3"/>
    <n v="18000"/>
    <n v="10"/>
    <n v="5"/>
    <n v="171000"/>
    <n v="120150"/>
    <n v="50850"/>
    <n v="29.74"/>
    <x v="2"/>
    <s v="Siti"/>
    <x v="3"/>
    <x v="1"/>
    <n v="1"/>
  </r>
  <r>
    <x v="9"/>
    <d v="2023-02-18T00:00:00"/>
    <s v="Sabtu"/>
    <x v="5"/>
    <s v="Q1"/>
    <n v="2023"/>
    <s v="Malam (20-22)"/>
    <s v="Teh Botol"/>
    <x v="0"/>
    <n v="6000"/>
    <n v="3"/>
    <n v="20"/>
    <n v="14400"/>
    <n v="9586"/>
    <n v="4814"/>
    <n v="33.43"/>
    <x v="3"/>
    <s v="Rina"/>
    <x v="1"/>
    <x v="1"/>
    <n v="5"/>
  </r>
  <r>
    <x v="10"/>
    <d v="2023-09-15T00:00:00"/>
    <s v="Jumat"/>
    <x v="6"/>
    <s v="Q3"/>
    <n v="2023"/>
    <s v="Sore (16-20)"/>
    <s v="Pelembab Vaseline"/>
    <x v="3"/>
    <n v="25000"/>
    <n v="2"/>
    <n v="15"/>
    <n v="42500"/>
    <n v="29768"/>
    <n v="12732"/>
    <n v="29.96"/>
    <x v="4"/>
    <s v="Siti"/>
    <x v="0"/>
    <x v="1"/>
    <n v="2"/>
  </r>
  <r>
    <x v="11"/>
    <d v="2024-04-09T00:00:00"/>
    <s v="Selasa"/>
    <x v="1"/>
    <s v="Q2"/>
    <n v="2024"/>
    <s v="Siang (12-16)"/>
    <s v="Pocari Sweat"/>
    <x v="0"/>
    <n v="8000"/>
    <n v="9"/>
    <n v="20"/>
    <n v="57600"/>
    <n v="33429"/>
    <n v="24171"/>
    <n v="41.96"/>
    <x v="0"/>
    <s v="Siti"/>
    <x v="4"/>
    <x v="0"/>
    <n v="3"/>
  </r>
  <r>
    <x v="12"/>
    <d v="2023-06-15T00:00:00"/>
    <s v="Kamis"/>
    <x v="7"/>
    <s v="Q2"/>
    <n v="2023"/>
    <s v="Sore (16-20)"/>
    <s v="Kapas Kecantikan"/>
    <x v="3"/>
    <n v="8000"/>
    <n v="1"/>
    <n v="10"/>
    <n v="7200"/>
    <n v="4357"/>
    <n v="2843"/>
    <n v="39.49"/>
    <x v="0"/>
    <s v="Rina"/>
    <x v="2"/>
    <x v="0"/>
    <n v="1"/>
  </r>
  <r>
    <x v="13"/>
    <d v="2023-09-04T00:00:00"/>
    <s v="Senin"/>
    <x v="6"/>
    <s v="Q3"/>
    <n v="2023"/>
    <s v="Siang (12-16)"/>
    <s v="Pelembab Vaseline"/>
    <x v="3"/>
    <n v="25000"/>
    <n v="2"/>
    <n v="15"/>
    <n v="42500"/>
    <n v="26886"/>
    <n v="15614"/>
    <n v="36.74"/>
    <x v="0"/>
    <s v="Dewi"/>
    <x v="3"/>
    <x v="1"/>
    <n v="5"/>
  </r>
  <r>
    <x v="14"/>
    <d v="2023-06-19T00:00:00"/>
    <s v="Senin"/>
    <x v="7"/>
    <s v="Q2"/>
    <n v="2023"/>
    <s v="Malam (20-22)"/>
    <s v="Softex"/>
    <x v="2"/>
    <n v="18000"/>
    <n v="10"/>
    <n v="5"/>
    <n v="171000"/>
    <n v="122084"/>
    <n v="48916"/>
    <n v="28.61"/>
    <x v="3"/>
    <s v="Budi"/>
    <x v="2"/>
    <x v="1"/>
    <n v="4"/>
  </r>
  <r>
    <x v="15"/>
    <d v="2024-06-13T00:00:00"/>
    <s v="Kamis"/>
    <x v="7"/>
    <s v="Q2"/>
    <n v="2024"/>
    <s v="Siang (12-16)"/>
    <s v="Kecap ABC"/>
    <x v="4"/>
    <n v="14000"/>
    <n v="4"/>
    <n v="0"/>
    <n v="56000"/>
    <n v="31410"/>
    <n v="24590"/>
    <n v="43.91"/>
    <x v="0"/>
    <s v="Dewi"/>
    <x v="4"/>
    <x v="0"/>
    <n v="1"/>
  </r>
  <r>
    <x v="16"/>
    <d v="2023-03-14T00:00:00"/>
    <s v="Selasa"/>
    <x v="3"/>
    <s v="Q1"/>
    <n v="2023"/>
    <s v="Sore (16-20)"/>
    <s v="Teh Botol"/>
    <x v="0"/>
    <n v="6000"/>
    <n v="2"/>
    <n v="0"/>
    <n v="12000"/>
    <n v="8354"/>
    <n v="3646"/>
    <n v="30.38"/>
    <x v="0"/>
    <s v="Dewi"/>
    <x v="3"/>
    <x v="1"/>
    <n v="2"/>
  </r>
  <r>
    <x v="17"/>
    <d v="2024-07-06T00:00:00"/>
    <s v="Sabtu"/>
    <x v="4"/>
    <s v="Q3"/>
    <n v="2024"/>
    <s v="Pagi (08-12)"/>
    <s v="Cheetos"/>
    <x v="1"/>
    <n v="11000"/>
    <n v="10"/>
    <n v="5"/>
    <n v="104500"/>
    <n v="61792"/>
    <n v="42708"/>
    <n v="40.869999999999997"/>
    <x v="2"/>
    <s v="Agus"/>
    <x v="3"/>
    <x v="0"/>
    <n v="4"/>
  </r>
  <r>
    <x v="18"/>
    <d v="2023-12-29T00:00:00"/>
    <s v="Jumat"/>
    <x v="8"/>
    <s v="Q4"/>
    <n v="2023"/>
    <s v="Sore (16-20)"/>
    <s v="Sania Minyak Goreng"/>
    <x v="4"/>
    <n v="28000"/>
    <n v="8"/>
    <n v="20"/>
    <n v="179200"/>
    <n v="120771"/>
    <n v="58429"/>
    <n v="32.61"/>
    <x v="0"/>
    <s v="Rina"/>
    <x v="1"/>
    <x v="0"/>
    <n v="2"/>
  </r>
  <r>
    <x v="19"/>
    <d v="2023-07-16T00:00:00"/>
    <s v="Minggu"/>
    <x v="4"/>
    <s v="Q3"/>
    <n v="2023"/>
    <s v="Pagi (08-12)"/>
    <s v="Cheetos"/>
    <x v="1"/>
    <n v="11000"/>
    <n v="8"/>
    <n v="0"/>
    <n v="88000"/>
    <n v="54711"/>
    <n v="33289"/>
    <n v="37.83"/>
    <x v="4"/>
    <s v="Agus"/>
    <x v="3"/>
    <x v="1"/>
    <n v="5"/>
  </r>
  <r>
    <x v="20"/>
    <d v="2023-04-11T00:00:00"/>
    <s v="Selasa"/>
    <x v="1"/>
    <s v="Q2"/>
    <n v="2023"/>
    <s v="Malam (20-22)"/>
    <s v="Susu Ultra"/>
    <x v="0"/>
    <n v="9000"/>
    <n v="1"/>
    <n v="0"/>
    <n v="9000"/>
    <n v="6367"/>
    <n v="2633"/>
    <n v="29.26"/>
    <x v="1"/>
    <s v="Budi"/>
    <x v="1"/>
    <x v="1"/>
    <n v="2"/>
  </r>
  <r>
    <x v="21"/>
    <d v="2024-02-15T00:00:00"/>
    <s v="Kamis"/>
    <x v="5"/>
    <s v="Q1"/>
    <n v="2024"/>
    <s v="Malam (20-22)"/>
    <s v="Teh Botol"/>
    <x v="0"/>
    <n v="6000"/>
    <n v="7"/>
    <n v="0"/>
    <n v="42000"/>
    <n v="30135"/>
    <n v="11865"/>
    <n v="28.25"/>
    <x v="4"/>
    <s v="Agus"/>
    <x v="2"/>
    <x v="1"/>
    <n v="2"/>
  </r>
  <r>
    <x v="22"/>
    <d v="2023-07-14T00:00:00"/>
    <s v="Jumat"/>
    <x v="4"/>
    <s v="Q3"/>
    <n v="2023"/>
    <s v="Pagi (08-12)"/>
    <s v="Shampo Sunsilk"/>
    <x v="2"/>
    <n v="15000"/>
    <n v="1"/>
    <n v="10"/>
    <n v="13500"/>
    <n v="9114"/>
    <n v="4386"/>
    <n v="32.49"/>
    <x v="0"/>
    <s v="Siti"/>
    <x v="0"/>
    <x v="1"/>
    <n v="5"/>
  </r>
  <r>
    <x v="23"/>
    <d v="2024-06-27T00:00:00"/>
    <s v="Kamis"/>
    <x v="7"/>
    <s v="Q2"/>
    <n v="2024"/>
    <s v="Siang (12-16)"/>
    <s v="Chitato"/>
    <x v="1"/>
    <n v="12000"/>
    <n v="9"/>
    <n v="0"/>
    <n v="108000"/>
    <n v="75031"/>
    <n v="32969"/>
    <n v="30.53"/>
    <x v="0"/>
    <s v="Dewi"/>
    <x v="0"/>
    <x v="1"/>
    <n v="1"/>
  </r>
  <r>
    <x v="24"/>
    <d v="2024-08-06T00:00:00"/>
    <s v="Selasa"/>
    <x v="9"/>
    <s v="Q3"/>
    <n v="2024"/>
    <s v="Sore (16-20)"/>
    <s v="Cheetos"/>
    <x v="1"/>
    <n v="11000"/>
    <n v="10"/>
    <n v="0"/>
    <n v="110000"/>
    <n v="72082"/>
    <n v="37918"/>
    <n v="34.47"/>
    <x v="2"/>
    <s v="Dewi"/>
    <x v="4"/>
    <x v="1"/>
    <n v="2"/>
  </r>
  <r>
    <x v="25"/>
    <d v="2024-11-16T00:00:00"/>
    <s v="Sabtu"/>
    <x v="10"/>
    <s v="Q4"/>
    <n v="2024"/>
    <s v="Pagi (08-12)"/>
    <s v="Shampo Sunsilk"/>
    <x v="2"/>
    <n v="15000"/>
    <n v="5"/>
    <n v="5"/>
    <n v="71250"/>
    <n v="40773"/>
    <n v="30477"/>
    <n v="42.77"/>
    <x v="4"/>
    <s v="Agus"/>
    <x v="2"/>
    <x v="0"/>
    <n v="4"/>
  </r>
  <r>
    <x v="26"/>
    <d v="2024-09-28T00:00:00"/>
    <s v="Sabtu"/>
    <x v="6"/>
    <s v="Q3"/>
    <n v="2024"/>
    <s v="Pagi (08-12)"/>
    <s v="Pelembab Vaseline"/>
    <x v="3"/>
    <n v="25000"/>
    <n v="2"/>
    <n v="10"/>
    <n v="45000"/>
    <n v="26381"/>
    <n v="18619"/>
    <n v="41.38"/>
    <x v="4"/>
    <s v="Budi"/>
    <x v="2"/>
    <x v="0"/>
    <n v="3"/>
  </r>
  <r>
    <x v="27"/>
    <d v="2023-10-19T00:00:00"/>
    <s v="Kamis"/>
    <x v="0"/>
    <s v="Q4"/>
    <n v="2023"/>
    <s v="Sore (16-20)"/>
    <s v="Indomie Goreng"/>
    <x v="1"/>
    <n v="3500"/>
    <n v="9"/>
    <n v="15"/>
    <n v="26775"/>
    <n v="16103"/>
    <n v="10672"/>
    <n v="39.86"/>
    <x v="3"/>
    <s v="Rina"/>
    <x v="4"/>
    <x v="0"/>
    <n v="2"/>
  </r>
  <r>
    <x v="28"/>
    <d v="2023-09-28T00:00:00"/>
    <s v="Kamis"/>
    <x v="6"/>
    <s v="Q3"/>
    <n v="2023"/>
    <s v="Siang (12-16)"/>
    <s v="Aqua 1.5L"/>
    <x v="0"/>
    <n v="5000"/>
    <n v="9"/>
    <n v="0"/>
    <n v="45000"/>
    <n v="26833"/>
    <n v="18167"/>
    <n v="40.369999999999997"/>
    <x v="3"/>
    <s v="Budi"/>
    <x v="2"/>
    <x v="1"/>
    <n v="5"/>
  </r>
  <r>
    <x v="29"/>
    <d v="2024-05-15T00:00:00"/>
    <s v="Rabu"/>
    <x v="11"/>
    <s v="Q2"/>
    <n v="2024"/>
    <s v="Sore (16-20)"/>
    <s v="Sabun Lifebuoy"/>
    <x v="2"/>
    <n v="8000"/>
    <n v="2"/>
    <n v="15"/>
    <n v="13600"/>
    <n v="8459"/>
    <n v="5141"/>
    <n v="37.799999999999997"/>
    <x v="4"/>
    <s v="Rina"/>
    <x v="0"/>
    <x v="0"/>
    <n v="3"/>
  </r>
  <r>
    <x v="30"/>
    <d v="2023-06-15T00:00:00"/>
    <s v="Kamis"/>
    <x v="7"/>
    <s v="Q2"/>
    <n v="2023"/>
    <s v="Pagi (08-12)"/>
    <s v="Gula Pasir 1kg"/>
    <x v="4"/>
    <n v="16000"/>
    <n v="7"/>
    <n v="10"/>
    <n v="100800"/>
    <n v="55606"/>
    <n v="45194"/>
    <n v="44.84"/>
    <x v="0"/>
    <s v="Budi"/>
    <x v="4"/>
    <x v="1"/>
    <n v="5"/>
  </r>
  <r>
    <x v="31"/>
    <d v="2024-07-19T00:00:00"/>
    <s v="Jumat"/>
    <x v="4"/>
    <s v="Q3"/>
    <n v="2024"/>
    <s v="Siang (12-16)"/>
    <s v="Indomie Goreng"/>
    <x v="1"/>
    <n v="3500"/>
    <n v="3"/>
    <n v="0"/>
    <n v="10500"/>
    <n v="6325"/>
    <n v="4175"/>
    <n v="39.76"/>
    <x v="0"/>
    <s v="Siti"/>
    <x v="3"/>
    <x v="0"/>
    <n v="3"/>
  </r>
  <r>
    <x v="32"/>
    <d v="2024-07-27T00:00:00"/>
    <s v="Sabtu"/>
    <x v="4"/>
    <s v="Q3"/>
    <n v="2024"/>
    <s v="Siang (12-16)"/>
    <s v="Gula Pasir 1kg"/>
    <x v="4"/>
    <n v="16000"/>
    <n v="3"/>
    <n v="0"/>
    <n v="48000"/>
    <n v="33455"/>
    <n v="14545"/>
    <n v="30.3"/>
    <x v="1"/>
    <s v="Agus"/>
    <x v="0"/>
    <x v="1"/>
    <n v="4"/>
  </r>
  <r>
    <x v="33"/>
    <d v="2024-11-16T00:00:00"/>
    <s v="Sabtu"/>
    <x v="10"/>
    <s v="Q4"/>
    <n v="2024"/>
    <s v="Siang (12-16)"/>
    <s v="Qtela"/>
    <x v="1"/>
    <n v="14000"/>
    <n v="3"/>
    <n v="20"/>
    <n v="33600"/>
    <n v="22486"/>
    <n v="11114"/>
    <n v="33.08"/>
    <x v="2"/>
    <s v="Rina"/>
    <x v="1"/>
    <x v="0"/>
    <n v="4"/>
  </r>
  <r>
    <x v="34"/>
    <d v="2023-12-25T00:00:00"/>
    <s v="Senin"/>
    <x v="8"/>
    <s v="Q4"/>
    <n v="2023"/>
    <s v="Pagi (08-12)"/>
    <s v="Shampo Sunsilk"/>
    <x v="2"/>
    <n v="15000"/>
    <n v="4"/>
    <n v="0"/>
    <n v="60000"/>
    <n v="39732"/>
    <n v="20268"/>
    <n v="33.78"/>
    <x v="2"/>
    <s v="Siti"/>
    <x v="2"/>
    <x v="1"/>
    <n v="3"/>
  </r>
  <r>
    <x v="35"/>
    <d v="2024-10-18T00:00:00"/>
    <s v="Jumat"/>
    <x v="0"/>
    <s v="Q4"/>
    <n v="2024"/>
    <s v="Sore (16-20)"/>
    <s v="Hand Sanitizer"/>
    <x v="3"/>
    <n v="12000"/>
    <n v="9"/>
    <n v="0"/>
    <n v="108000"/>
    <n v="76644"/>
    <n v="31356"/>
    <n v="29.03"/>
    <x v="0"/>
    <s v="Siti"/>
    <x v="3"/>
    <x v="0"/>
    <n v="1"/>
  </r>
  <r>
    <x v="36"/>
    <d v="2024-09-02T00:00:00"/>
    <s v="Senin"/>
    <x v="6"/>
    <s v="Q3"/>
    <n v="2024"/>
    <s v="Siang (12-16)"/>
    <s v="Royco Ayam"/>
    <x v="4"/>
    <n v="5000"/>
    <n v="6"/>
    <n v="5"/>
    <n v="28500"/>
    <n v="18612"/>
    <n v="9888"/>
    <n v="34.69"/>
    <x v="3"/>
    <s v="Rina"/>
    <x v="1"/>
    <x v="1"/>
    <n v="1"/>
  </r>
  <r>
    <x v="37"/>
    <d v="2024-12-26T00:00:00"/>
    <s v="Kamis"/>
    <x v="8"/>
    <s v="Q4"/>
    <n v="2024"/>
    <s v="Pagi (08-12)"/>
    <s v="Kecap ABC"/>
    <x v="4"/>
    <n v="14000"/>
    <n v="9"/>
    <n v="20"/>
    <n v="100800"/>
    <n v="64667"/>
    <n v="36133"/>
    <n v="35.85"/>
    <x v="1"/>
    <s v="Siti"/>
    <x v="1"/>
    <x v="1"/>
    <n v="5"/>
  </r>
  <r>
    <x v="38"/>
    <d v="2023-11-18T00:00:00"/>
    <s v="Sabtu"/>
    <x v="10"/>
    <s v="Q4"/>
    <n v="2023"/>
    <s v="Siang (12-16)"/>
    <s v="Pocari Sweat"/>
    <x v="0"/>
    <n v="8000"/>
    <n v="9"/>
    <n v="0"/>
    <n v="72000"/>
    <n v="47763"/>
    <n v="24237"/>
    <n v="33.659999999999997"/>
    <x v="4"/>
    <s v="Agus"/>
    <x v="2"/>
    <x v="0"/>
    <n v="4"/>
  </r>
  <r>
    <x v="39"/>
    <d v="2024-11-11T00:00:00"/>
    <s v="Senin"/>
    <x v="10"/>
    <s v="Q4"/>
    <n v="2024"/>
    <s v="Sore (16-20)"/>
    <s v="Saos Sambal"/>
    <x v="4"/>
    <n v="10000"/>
    <n v="10"/>
    <n v="10"/>
    <n v="90000"/>
    <n v="54105"/>
    <n v="35895"/>
    <n v="39.880000000000003"/>
    <x v="3"/>
    <s v="Rina"/>
    <x v="2"/>
    <x v="0"/>
    <n v="4"/>
  </r>
  <r>
    <x v="40"/>
    <d v="2024-08-16T00:00:00"/>
    <s v="Jumat"/>
    <x v="9"/>
    <s v="Q3"/>
    <n v="2024"/>
    <s v="Siang (12-16)"/>
    <s v="Lip Balm Nivea"/>
    <x v="3"/>
    <n v="18000"/>
    <n v="8"/>
    <n v="5"/>
    <n v="136800"/>
    <n v="85523"/>
    <n v="51277"/>
    <n v="37.479999999999997"/>
    <x v="1"/>
    <s v="Dewi"/>
    <x v="1"/>
    <x v="0"/>
    <n v="3"/>
  </r>
  <r>
    <x v="41"/>
    <d v="2024-06-11T00:00:00"/>
    <s v="Selasa"/>
    <x v="7"/>
    <s v="Q2"/>
    <n v="2024"/>
    <s v="Siang (12-16)"/>
    <s v="Lip Balm Nivea"/>
    <x v="3"/>
    <n v="18000"/>
    <n v="2"/>
    <n v="20"/>
    <n v="28800"/>
    <n v="20501"/>
    <n v="8299"/>
    <n v="28.82"/>
    <x v="1"/>
    <s v="Siti"/>
    <x v="3"/>
    <x v="0"/>
    <n v="1"/>
  </r>
  <r>
    <x v="42"/>
    <d v="2023-02-17T00:00:00"/>
    <s v="Jumat"/>
    <x v="5"/>
    <s v="Q1"/>
    <n v="2023"/>
    <s v="Siang (12-16)"/>
    <s v="Indomie Goreng"/>
    <x v="1"/>
    <n v="3500"/>
    <n v="10"/>
    <n v="20"/>
    <n v="28000"/>
    <n v="19058"/>
    <n v="8942"/>
    <n v="31.94"/>
    <x v="2"/>
    <s v="Agus"/>
    <x v="4"/>
    <x v="1"/>
    <n v="4"/>
  </r>
  <r>
    <x v="43"/>
    <d v="2024-02-14T00:00:00"/>
    <s v="Rabu"/>
    <x v="5"/>
    <s v="Q1"/>
    <n v="2024"/>
    <s v="Siang (12-16)"/>
    <s v="Oreo"/>
    <x v="1"/>
    <n v="10000"/>
    <n v="1"/>
    <n v="20"/>
    <n v="8000"/>
    <n v="5570"/>
    <n v="2430"/>
    <n v="30.38"/>
    <x v="0"/>
    <s v="Agus"/>
    <x v="3"/>
    <x v="1"/>
    <n v="1"/>
  </r>
  <r>
    <x v="44"/>
    <d v="2024-07-24T00:00:00"/>
    <s v="Rabu"/>
    <x v="4"/>
    <s v="Q3"/>
    <n v="2024"/>
    <s v="Sore (16-20)"/>
    <s v="Chitato"/>
    <x v="1"/>
    <n v="12000"/>
    <n v="8"/>
    <n v="0"/>
    <n v="96000"/>
    <n v="65879"/>
    <n v="30121"/>
    <n v="31.38"/>
    <x v="3"/>
    <s v="Dewi"/>
    <x v="4"/>
    <x v="1"/>
    <n v="5"/>
  </r>
  <r>
    <x v="45"/>
    <d v="2024-05-31T00:00:00"/>
    <s v="Jumat"/>
    <x v="11"/>
    <s v="Q2"/>
    <n v="2024"/>
    <s v="Siang (12-16)"/>
    <s v="Gula Pasir 1kg"/>
    <x v="4"/>
    <n v="16000"/>
    <n v="8"/>
    <n v="0"/>
    <n v="128000"/>
    <n v="86582"/>
    <n v="41418"/>
    <n v="32.36"/>
    <x v="2"/>
    <s v="Agus"/>
    <x v="2"/>
    <x v="1"/>
    <n v="5"/>
  </r>
  <r>
    <x v="46"/>
    <d v="2024-05-11T00:00:00"/>
    <s v="Sabtu"/>
    <x v="11"/>
    <s v="Q2"/>
    <n v="2024"/>
    <s v="Sore (16-20)"/>
    <s v="Qtela"/>
    <x v="1"/>
    <n v="14000"/>
    <n v="8"/>
    <n v="0"/>
    <n v="112000"/>
    <n v="75186"/>
    <n v="36814"/>
    <n v="32.869999999999997"/>
    <x v="1"/>
    <s v="Siti"/>
    <x v="2"/>
    <x v="0"/>
    <n v="2"/>
  </r>
  <r>
    <x v="47"/>
    <d v="2023-06-04T00:00:00"/>
    <s v="Minggu"/>
    <x v="7"/>
    <s v="Q2"/>
    <n v="2023"/>
    <s v="Malam (20-22)"/>
    <s v="Indomie Goreng"/>
    <x v="1"/>
    <n v="3500"/>
    <n v="3"/>
    <n v="15"/>
    <n v="8925"/>
    <n v="5233"/>
    <n v="3692"/>
    <n v="41.37"/>
    <x v="2"/>
    <s v="Agus"/>
    <x v="2"/>
    <x v="1"/>
    <n v="1"/>
  </r>
  <r>
    <x v="48"/>
    <d v="2023-07-31T00:00:00"/>
    <s v="Senin"/>
    <x v="4"/>
    <s v="Q3"/>
    <n v="2023"/>
    <s v="Pagi (08-12)"/>
    <s v="Sania Minyak Goreng"/>
    <x v="4"/>
    <n v="28000"/>
    <n v="10"/>
    <n v="15"/>
    <n v="238000"/>
    <n v="131690"/>
    <n v="106310"/>
    <n v="44.67"/>
    <x v="3"/>
    <s v="Agus"/>
    <x v="1"/>
    <x v="1"/>
    <n v="3"/>
  </r>
  <r>
    <x v="49"/>
    <d v="2024-02-04T00:00:00"/>
    <s v="Minggu"/>
    <x v="5"/>
    <s v="Q1"/>
    <n v="2024"/>
    <s v="Sore (16-20)"/>
    <s v="Gula Pasir 1kg"/>
    <x v="4"/>
    <n v="16000"/>
    <n v="9"/>
    <n v="20"/>
    <n v="115200"/>
    <n v="75174"/>
    <n v="40026"/>
    <n v="34.74"/>
    <x v="1"/>
    <s v="Agus"/>
    <x v="3"/>
    <x v="1"/>
    <n v="4"/>
  </r>
  <r>
    <x v="50"/>
    <d v="2023-01-30T00:00:00"/>
    <s v="Senin"/>
    <x v="2"/>
    <s v="Q1"/>
    <n v="2023"/>
    <s v="Pagi (08-12)"/>
    <s v="Royco Ayam"/>
    <x v="4"/>
    <n v="5000"/>
    <n v="7"/>
    <n v="15"/>
    <n v="29750"/>
    <n v="17197"/>
    <n v="12553"/>
    <n v="42.19"/>
    <x v="2"/>
    <s v="Budi"/>
    <x v="4"/>
    <x v="1"/>
    <n v="5"/>
  </r>
  <r>
    <x v="51"/>
    <d v="2024-07-31T00:00:00"/>
    <s v="Rabu"/>
    <x v="4"/>
    <s v="Q3"/>
    <n v="2024"/>
    <s v="Malam (20-22)"/>
    <s v="Aqua 1.5L"/>
    <x v="0"/>
    <n v="5000"/>
    <n v="7"/>
    <n v="0"/>
    <n v="35000"/>
    <n v="24408"/>
    <n v="10592"/>
    <n v="30.26"/>
    <x v="1"/>
    <s v="Rina"/>
    <x v="2"/>
    <x v="1"/>
    <n v="2"/>
  </r>
  <r>
    <x v="52"/>
    <d v="2024-04-10T00:00:00"/>
    <s v="Rabu"/>
    <x v="1"/>
    <s v="Q2"/>
    <n v="2024"/>
    <s v="Malam (20-22)"/>
    <s v="Pasta Gigi Pepsodent"/>
    <x v="2"/>
    <n v="12000"/>
    <n v="7"/>
    <n v="0"/>
    <n v="84000"/>
    <n v="56939"/>
    <n v="27061"/>
    <n v="32.22"/>
    <x v="2"/>
    <s v="Siti"/>
    <x v="0"/>
    <x v="0"/>
    <n v="5"/>
  </r>
  <r>
    <x v="53"/>
    <d v="2023-02-23T00:00:00"/>
    <s v="Kamis"/>
    <x v="5"/>
    <s v="Q1"/>
    <n v="2023"/>
    <s v="Siang (12-16)"/>
    <s v="Shampo Sunsilk"/>
    <x v="2"/>
    <n v="15000"/>
    <n v="2"/>
    <n v="20"/>
    <n v="24000"/>
    <n v="17106"/>
    <n v="6894"/>
    <n v="28.73"/>
    <x v="0"/>
    <s v="Rina"/>
    <x v="3"/>
    <x v="0"/>
    <n v="5"/>
  </r>
  <r>
    <x v="54"/>
    <d v="2023-06-06T00:00:00"/>
    <s v="Selasa"/>
    <x v="7"/>
    <s v="Q2"/>
    <n v="2023"/>
    <s v="Sore (16-20)"/>
    <s v="Oreo"/>
    <x v="1"/>
    <n v="10000"/>
    <n v="8"/>
    <n v="15"/>
    <n v="68000"/>
    <n v="38722"/>
    <n v="29278"/>
    <n v="43.06"/>
    <x v="1"/>
    <s v="Agus"/>
    <x v="2"/>
    <x v="0"/>
    <n v="5"/>
  </r>
  <r>
    <x v="55"/>
    <d v="2024-09-13T00:00:00"/>
    <s v="Jumat"/>
    <x v="6"/>
    <s v="Q3"/>
    <n v="2024"/>
    <s v="Malam (20-22)"/>
    <s v="Teh Botol"/>
    <x v="0"/>
    <n v="6000"/>
    <n v="5"/>
    <n v="0"/>
    <n v="30000"/>
    <n v="19451"/>
    <n v="10549"/>
    <n v="35.159999999999997"/>
    <x v="4"/>
    <s v="Dewi"/>
    <x v="1"/>
    <x v="0"/>
    <n v="1"/>
  </r>
  <r>
    <x v="56"/>
    <d v="2024-08-29T00:00:00"/>
    <s v="Kamis"/>
    <x v="9"/>
    <s v="Q3"/>
    <n v="2024"/>
    <s v="Sore (16-20)"/>
    <s v="Chitato"/>
    <x v="1"/>
    <n v="12000"/>
    <n v="5"/>
    <n v="20"/>
    <n v="48000"/>
    <n v="31984"/>
    <n v="16016"/>
    <n v="33.369999999999997"/>
    <x v="0"/>
    <s v="Dewi"/>
    <x v="0"/>
    <x v="1"/>
    <n v="3"/>
  </r>
  <r>
    <x v="57"/>
    <d v="2023-03-12T00:00:00"/>
    <s v="Minggu"/>
    <x v="3"/>
    <s v="Q1"/>
    <n v="2023"/>
    <s v="Sore (16-20)"/>
    <s v="Lip Balm Nivea"/>
    <x v="3"/>
    <n v="18000"/>
    <n v="1"/>
    <n v="20"/>
    <n v="14400"/>
    <n v="8948"/>
    <n v="5452"/>
    <n v="37.86"/>
    <x v="2"/>
    <s v="Rina"/>
    <x v="1"/>
    <x v="1"/>
    <n v="2"/>
  </r>
  <r>
    <x v="58"/>
    <d v="2024-03-21T00:00:00"/>
    <s v="Kamis"/>
    <x v="3"/>
    <s v="Q1"/>
    <n v="2024"/>
    <s v="Malam (20-22)"/>
    <s v="Cheetos"/>
    <x v="1"/>
    <n v="11000"/>
    <n v="5"/>
    <n v="10"/>
    <n v="49500"/>
    <n v="34026"/>
    <n v="15474"/>
    <n v="31.26"/>
    <x v="3"/>
    <s v="Agus"/>
    <x v="1"/>
    <x v="1"/>
    <n v="3"/>
  </r>
  <r>
    <x v="59"/>
    <d v="2023-09-09T00:00:00"/>
    <s v="Sabtu"/>
    <x v="6"/>
    <s v="Q3"/>
    <n v="2023"/>
    <s v="Sore (16-20)"/>
    <s v="Pocari Sweat"/>
    <x v="0"/>
    <n v="8000"/>
    <n v="8"/>
    <n v="0"/>
    <n v="64000"/>
    <n v="43365"/>
    <n v="20635"/>
    <n v="32.24"/>
    <x v="3"/>
    <s v="Dewi"/>
    <x v="1"/>
    <x v="0"/>
    <n v="4"/>
  </r>
  <r>
    <x v="60"/>
    <d v="2023-11-29T00:00:00"/>
    <s v="Rabu"/>
    <x v="10"/>
    <s v="Q4"/>
    <n v="2023"/>
    <s v="Sore (16-20)"/>
    <s v="Indomie Goreng"/>
    <x v="1"/>
    <n v="3500"/>
    <n v="4"/>
    <n v="0"/>
    <n v="14000"/>
    <n v="9599"/>
    <n v="4401"/>
    <n v="31.44"/>
    <x v="4"/>
    <s v="Siti"/>
    <x v="4"/>
    <x v="0"/>
    <n v="5"/>
  </r>
  <r>
    <x v="61"/>
    <d v="2023-07-15T00:00:00"/>
    <s v="Sabtu"/>
    <x v="4"/>
    <s v="Q3"/>
    <n v="2023"/>
    <s v="Malam (20-22)"/>
    <s v="Teh Botol"/>
    <x v="0"/>
    <n v="6000"/>
    <n v="7"/>
    <n v="5"/>
    <n v="39900"/>
    <n v="25711"/>
    <n v="14189"/>
    <n v="35.56"/>
    <x v="1"/>
    <s v="Agus"/>
    <x v="1"/>
    <x v="0"/>
    <n v="1"/>
  </r>
  <r>
    <x v="62"/>
    <d v="2023-10-29T00:00:00"/>
    <s v="Minggu"/>
    <x v="0"/>
    <s v="Q4"/>
    <n v="2023"/>
    <s v="Sore (16-20)"/>
    <s v="Indomie Goreng"/>
    <x v="1"/>
    <n v="3500"/>
    <n v="4"/>
    <n v="0"/>
    <n v="14000"/>
    <n v="9280"/>
    <n v="4720"/>
    <n v="33.71"/>
    <x v="4"/>
    <s v="Agus"/>
    <x v="4"/>
    <x v="1"/>
    <n v="5"/>
  </r>
  <r>
    <x v="63"/>
    <d v="2023-12-05T00:00:00"/>
    <s v="Selasa"/>
    <x v="8"/>
    <s v="Q4"/>
    <n v="2023"/>
    <s v="Pagi (08-12)"/>
    <s v="Deterjen Rinso"/>
    <x v="2"/>
    <n v="22000"/>
    <n v="5"/>
    <n v="0"/>
    <n v="110000"/>
    <n v="65201"/>
    <n v="44799"/>
    <n v="40.729999999999997"/>
    <x v="0"/>
    <s v="Budi"/>
    <x v="2"/>
    <x v="0"/>
    <n v="2"/>
  </r>
  <r>
    <x v="64"/>
    <d v="2023-08-10T00:00:00"/>
    <s v="Kamis"/>
    <x v="9"/>
    <s v="Q3"/>
    <n v="2023"/>
    <s v="Sore (16-20)"/>
    <s v="Royco Ayam"/>
    <x v="4"/>
    <n v="5000"/>
    <n v="10"/>
    <n v="20"/>
    <n v="40000"/>
    <n v="25568"/>
    <n v="14432"/>
    <n v="36.08"/>
    <x v="4"/>
    <s v="Rina"/>
    <x v="3"/>
    <x v="0"/>
    <n v="3"/>
  </r>
  <r>
    <x v="65"/>
    <d v="2023-07-03T00:00:00"/>
    <s v="Senin"/>
    <x v="4"/>
    <s v="Q3"/>
    <n v="2023"/>
    <s v="Siang (12-16)"/>
    <s v="Sabun Lifebuoy"/>
    <x v="2"/>
    <n v="8000"/>
    <n v="9"/>
    <n v="0"/>
    <n v="72000"/>
    <n v="42958"/>
    <n v="29042"/>
    <n v="40.340000000000003"/>
    <x v="0"/>
    <s v="Dewi"/>
    <x v="2"/>
    <x v="1"/>
    <n v="1"/>
  </r>
  <r>
    <x v="66"/>
    <d v="2023-01-13T00:00:00"/>
    <s v="Jumat"/>
    <x v="2"/>
    <s v="Q1"/>
    <n v="2023"/>
    <s v="Malam (20-22)"/>
    <s v="Lip Balm Nivea"/>
    <x v="3"/>
    <n v="18000"/>
    <n v="8"/>
    <n v="5"/>
    <n v="136800"/>
    <n v="85484"/>
    <n v="51316"/>
    <n v="37.51"/>
    <x v="1"/>
    <s v="Rina"/>
    <x v="2"/>
    <x v="0"/>
    <n v="1"/>
  </r>
  <r>
    <x v="67"/>
    <d v="2024-02-15T00:00:00"/>
    <s v="Kamis"/>
    <x v="5"/>
    <s v="Q1"/>
    <n v="2024"/>
    <s v="Sore (16-20)"/>
    <s v="Kecap ABC"/>
    <x v="4"/>
    <n v="14000"/>
    <n v="10"/>
    <n v="15"/>
    <n v="119000"/>
    <n v="79337"/>
    <n v="39663"/>
    <n v="33.33"/>
    <x v="1"/>
    <s v="Budi"/>
    <x v="4"/>
    <x v="0"/>
    <n v="2"/>
  </r>
  <r>
    <x v="68"/>
    <d v="2023-05-02T00:00:00"/>
    <s v="Selasa"/>
    <x v="11"/>
    <s v="Q2"/>
    <n v="2023"/>
    <s v="Malam (20-22)"/>
    <s v="Hand Sanitizer"/>
    <x v="3"/>
    <n v="12000"/>
    <n v="10"/>
    <n v="10"/>
    <n v="108000"/>
    <n v="73918"/>
    <n v="34082"/>
    <n v="31.56"/>
    <x v="1"/>
    <s v="Dewi"/>
    <x v="1"/>
    <x v="1"/>
    <n v="3"/>
  </r>
  <r>
    <x v="69"/>
    <d v="2024-08-25T00:00:00"/>
    <s v="Minggu"/>
    <x v="9"/>
    <s v="Q3"/>
    <n v="2024"/>
    <s v="Sore (16-20)"/>
    <s v="Royco Ayam"/>
    <x v="4"/>
    <n v="5000"/>
    <n v="10"/>
    <n v="10"/>
    <n v="45000"/>
    <n v="25211"/>
    <n v="19789"/>
    <n v="43.98"/>
    <x v="0"/>
    <s v="Budi"/>
    <x v="3"/>
    <x v="0"/>
    <n v="2"/>
  </r>
  <r>
    <x v="70"/>
    <d v="2023-09-03T00:00:00"/>
    <s v="Minggu"/>
    <x v="6"/>
    <s v="Q3"/>
    <n v="2023"/>
    <s v="Sore (16-20)"/>
    <s v="Cheetos"/>
    <x v="1"/>
    <n v="11000"/>
    <n v="2"/>
    <n v="0"/>
    <n v="22000"/>
    <n v="12110"/>
    <n v="9890"/>
    <n v="44.95"/>
    <x v="2"/>
    <s v="Dewi"/>
    <x v="1"/>
    <x v="0"/>
    <n v="2"/>
  </r>
  <r>
    <x v="71"/>
    <d v="2023-10-23T00:00:00"/>
    <s v="Senin"/>
    <x v="0"/>
    <s v="Q4"/>
    <n v="2023"/>
    <s v="Malam (20-22)"/>
    <s v="Deterjen Rinso"/>
    <x v="2"/>
    <n v="22000"/>
    <n v="2"/>
    <n v="15"/>
    <n v="37400"/>
    <n v="22054"/>
    <n v="15346"/>
    <n v="41.03"/>
    <x v="4"/>
    <s v="Dewi"/>
    <x v="3"/>
    <x v="0"/>
    <n v="5"/>
  </r>
  <r>
    <x v="72"/>
    <d v="2023-08-19T00:00:00"/>
    <s v="Sabtu"/>
    <x v="9"/>
    <s v="Q3"/>
    <n v="2023"/>
    <s v="Sore (16-20)"/>
    <s v="Qtela"/>
    <x v="1"/>
    <n v="14000"/>
    <n v="3"/>
    <n v="0"/>
    <n v="42000"/>
    <n v="23526"/>
    <n v="18474"/>
    <n v="43.99"/>
    <x v="4"/>
    <s v="Dewi"/>
    <x v="4"/>
    <x v="1"/>
    <n v="1"/>
  </r>
  <r>
    <x v="73"/>
    <d v="2024-04-24T00:00:00"/>
    <s v="Rabu"/>
    <x v="1"/>
    <s v="Q2"/>
    <n v="2024"/>
    <s v="Pagi (08-12)"/>
    <s v="Deterjen Rinso"/>
    <x v="2"/>
    <n v="22000"/>
    <n v="5"/>
    <n v="10"/>
    <n v="99000"/>
    <n v="63538"/>
    <n v="35462"/>
    <n v="35.82"/>
    <x v="2"/>
    <s v="Rina"/>
    <x v="4"/>
    <x v="1"/>
    <n v="3"/>
  </r>
  <r>
    <x v="74"/>
    <d v="2024-09-10T00:00:00"/>
    <s v="Selasa"/>
    <x v="6"/>
    <s v="Q3"/>
    <n v="2024"/>
    <s v="Sore (16-20)"/>
    <s v="Sabun Lifebuoy"/>
    <x v="2"/>
    <n v="8000"/>
    <n v="2"/>
    <n v="0"/>
    <n v="16000"/>
    <n v="11416"/>
    <n v="4584"/>
    <n v="28.65"/>
    <x v="3"/>
    <s v="Dewi"/>
    <x v="0"/>
    <x v="0"/>
    <n v="2"/>
  </r>
  <r>
    <x v="75"/>
    <d v="2024-04-26T00:00:00"/>
    <s v="Jumat"/>
    <x v="1"/>
    <s v="Q2"/>
    <n v="2024"/>
    <s v="Malam (20-22)"/>
    <s v="Hand Sanitizer"/>
    <x v="3"/>
    <n v="12000"/>
    <n v="5"/>
    <n v="0"/>
    <n v="60000"/>
    <n v="43169"/>
    <n v="16831"/>
    <n v="28.05"/>
    <x v="2"/>
    <s v="Agus"/>
    <x v="0"/>
    <x v="1"/>
    <n v="4"/>
  </r>
  <r>
    <x v="76"/>
    <d v="2023-12-08T00:00:00"/>
    <s v="Jumat"/>
    <x v="8"/>
    <s v="Q4"/>
    <n v="2023"/>
    <s v="Pagi (08-12)"/>
    <s v="Sabun Lifebuoy"/>
    <x v="2"/>
    <n v="8000"/>
    <n v="3"/>
    <n v="0"/>
    <n v="24000"/>
    <n v="14880"/>
    <n v="9120"/>
    <n v="38"/>
    <x v="2"/>
    <s v="Siti"/>
    <x v="1"/>
    <x v="1"/>
    <n v="1"/>
  </r>
  <r>
    <x v="77"/>
    <d v="2023-11-19T00:00:00"/>
    <s v="Minggu"/>
    <x v="10"/>
    <s v="Q4"/>
    <n v="2023"/>
    <s v="Malam (20-22)"/>
    <s v="Pasta Gigi Pepsodent"/>
    <x v="2"/>
    <n v="12000"/>
    <n v="2"/>
    <n v="20"/>
    <n v="19200"/>
    <n v="11879"/>
    <n v="7321"/>
    <n v="38.130000000000003"/>
    <x v="3"/>
    <s v="Rina"/>
    <x v="4"/>
    <x v="1"/>
    <n v="1"/>
  </r>
  <r>
    <x v="78"/>
    <d v="2023-07-12T00:00:00"/>
    <s v="Rabu"/>
    <x v="4"/>
    <s v="Q3"/>
    <n v="2023"/>
    <s v="Sore (16-20)"/>
    <s v="Lip Balm Nivea"/>
    <x v="3"/>
    <n v="18000"/>
    <n v="10"/>
    <n v="20"/>
    <n v="144000"/>
    <n v="91403"/>
    <n v="52597"/>
    <n v="36.53"/>
    <x v="2"/>
    <s v="Rina"/>
    <x v="3"/>
    <x v="0"/>
    <n v="3"/>
  </r>
  <r>
    <x v="79"/>
    <d v="2024-03-24T00:00:00"/>
    <s v="Minggu"/>
    <x v="3"/>
    <s v="Q1"/>
    <n v="2024"/>
    <s v="Pagi (08-12)"/>
    <s v="Kecap ABC"/>
    <x v="4"/>
    <n v="14000"/>
    <n v="1"/>
    <n v="15"/>
    <n v="11900"/>
    <n v="7777"/>
    <n v="4123"/>
    <n v="34.65"/>
    <x v="1"/>
    <s v="Budi"/>
    <x v="2"/>
    <x v="1"/>
    <n v="1"/>
  </r>
  <r>
    <x v="80"/>
    <d v="2023-08-19T00:00:00"/>
    <s v="Sabtu"/>
    <x v="9"/>
    <s v="Q3"/>
    <n v="2023"/>
    <s v="Sore (16-20)"/>
    <s v="Kopi Kapal Api"/>
    <x v="0"/>
    <n v="12000"/>
    <n v="2"/>
    <n v="15"/>
    <n v="20400"/>
    <n v="14106"/>
    <n v="6294"/>
    <n v="30.85"/>
    <x v="2"/>
    <s v="Siti"/>
    <x v="4"/>
    <x v="1"/>
    <n v="4"/>
  </r>
  <r>
    <x v="81"/>
    <d v="2024-04-28T00:00:00"/>
    <s v="Minggu"/>
    <x v="1"/>
    <s v="Q2"/>
    <n v="2024"/>
    <s v="Pagi (08-12)"/>
    <s v="Indomie Goreng"/>
    <x v="1"/>
    <n v="3500"/>
    <n v="9"/>
    <n v="0"/>
    <n v="31500"/>
    <n v="19379"/>
    <n v="12121"/>
    <n v="38.479999999999997"/>
    <x v="3"/>
    <s v="Dewi"/>
    <x v="3"/>
    <x v="1"/>
    <n v="4"/>
  </r>
  <r>
    <x v="82"/>
    <d v="2023-12-15T00:00:00"/>
    <s v="Jumat"/>
    <x v="8"/>
    <s v="Q4"/>
    <n v="2023"/>
    <s v="Siang (12-16)"/>
    <s v="Lip Balm Nivea"/>
    <x v="3"/>
    <n v="18000"/>
    <n v="1"/>
    <n v="0"/>
    <n v="18000"/>
    <n v="12122"/>
    <n v="5878"/>
    <n v="32.659999999999997"/>
    <x v="3"/>
    <s v="Dewi"/>
    <x v="1"/>
    <x v="1"/>
    <n v="5"/>
  </r>
  <r>
    <x v="83"/>
    <d v="2024-05-10T00:00:00"/>
    <s v="Jumat"/>
    <x v="11"/>
    <s v="Q2"/>
    <n v="2024"/>
    <s v="Siang (12-16)"/>
    <s v="Pasta Gigi Pepsodent"/>
    <x v="2"/>
    <n v="12000"/>
    <n v="9"/>
    <n v="20"/>
    <n v="86400"/>
    <n v="55502"/>
    <n v="30898"/>
    <n v="35.76"/>
    <x v="2"/>
    <s v="Siti"/>
    <x v="3"/>
    <x v="1"/>
    <n v="2"/>
  </r>
  <r>
    <x v="84"/>
    <d v="2024-02-25T00:00:00"/>
    <s v="Minggu"/>
    <x v="5"/>
    <s v="Q1"/>
    <n v="2024"/>
    <s v="Malam (20-22)"/>
    <s v="Pocari Sweat"/>
    <x v="0"/>
    <n v="8000"/>
    <n v="8"/>
    <n v="15"/>
    <n v="54400"/>
    <n v="38367"/>
    <n v="16033"/>
    <n v="29.47"/>
    <x v="2"/>
    <s v="Agus"/>
    <x v="3"/>
    <x v="0"/>
    <n v="2"/>
  </r>
  <r>
    <x v="85"/>
    <d v="2024-05-29T00:00:00"/>
    <s v="Rabu"/>
    <x v="11"/>
    <s v="Q2"/>
    <n v="2024"/>
    <s v="Pagi (08-12)"/>
    <s v="Lip Balm Nivea"/>
    <x v="3"/>
    <n v="18000"/>
    <n v="2"/>
    <n v="20"/>
    <n v="28800"/>
    <n v="19977"/>
    <n v="8823"/>
    <n v="30.64"/>
    <x v="0"/>
    <s v="Dewi"/>
    <x v="1"/>
    <x v="0"/>
    <n v="4"/>
  </r>
  <r>
    <x v="86"/>
    <d v="2024-11-01T00:00:00"/>
    <s v="Jumat"/>
    <x v="10"/>
    <s v="Q4"/>
    <n v="2024"/>
    <s v="Pagi (08-12)"/>
    <s v="Chitato"/>
    <x v="1"/>
    <n v="12000"/>
    <n v="8"/>
    <n v="20"/>
    <n v="76800"/>
    <n v="54894"/>
    <n v="21906"/>
    <n v="28.52"/>
    <x v="4"/>
    <s v="Dewi"/>
    <x v="1"/>
    <x v="1"/>
    <n v="5"/>
  </r>
  <r>
    <x v="87"/>
    <d v="2024-01-25T00:00:00"/>
    <s v="Kamis"/>
    <x v="2"/>
    <s v="Q1"/>
    <n v="2024"/>
    <s v="Pagi (08-12)"/>
    <s v="Deterjen Rinso"/>
    <x v="2"/>
    <n v="22000"/>
    <n v="9"/>
    <n v="0"/>
    <n v="198000"/>
    <n v="129684"/>
    <n v="68316"/>
    <n v="34.5"/>
    <x v="1"/>
    <s v="Siti"/>
    <x v="3"/>
    <x v="1"/>
    <n v="1"/>
  </r>
  <r>
    <x v="88"/>
    <d v="2024-10-10T00:00:00"/>
    <s v="Kamis"/>
    <x v="0"/>
    <s v="Q4"/>
    <n v="2024"/>
    <s v="Pagi (08-12)"/>
    <s v="Kopi Kapal Api"/>
    <x v="0"/>
    <n v="12000"/>
    <n v="3"/>
    <n v="15"/>
    <n v="30600"/>
    <n v="18388"/>
    <n v="12212"/>
    <n v="39.909999999999997"/>
    <x v="0"/>
    <s v="Rina"/>
    <x v="2"/>
    <x v="1"/>
    <n v="3"/>
  </r>
  <r>
    <x v="89"/>
    <d v="2024-01-19T00:00:00"/>
    <s v="Jumat"/>
    <x v="2"/>
    <s v="Q1"/>
    <n v="2024"/>
    <s v="Pagi (08-12)"/>
    <s v="Saos Sambal"/>
    <x v="4"/>
    <n v="10000"/>
    <n v="4"/>
    <n v="10"/>
    <n v="36000"/>
    <n v="22322"/>
    <n v="13678"/>
    <n v="37.99"/>
    <x v="1"/>
    <s v="Budi"/>
    <x v="3"/>
    <x v="1"/>
    <n v="5"/>
  </r>
  <r>
    <x v="90"/>
    <d v="2024-11-30T00:00:00"/>
    <s v="Sabtu"/>
    <x v="10"/>
    <s v="Q4"/>
    <n v="2024"/>
    <s v="Pagi (08-12)"/>
    <s v="Indomie Goreng"/>
    <x v="1"/>
    <n v="3500"/>
    <n v="10"/>
    <n v="0"/>
    <n v="35000"/>
    <n v="20632"/>
    <n v="14368"/>
    <n v="41.05"/>
    <x v="4"/>
    <s v="Agus"/>
    <x v="2"/>
    <x v="1"/>
    <n v="3"/>
  </r>
  <r>
    <x v="91"/>
    <d v="2024-11-24T00:00:00"/>
    <s v="Minggu"/>
    <x v="10"/>
    <s v="Q4"/>
    <n v="2024"/>
    <s v="Sore (16-20)"/>
    <s v="Deodorant Rexona"/>
    <x v="3"/>
    <n v="20000"/>
    <n v="2"/>
    <n v="5"/>
    <n v="38000"/>
    <n v="27006"/>
    <n v="10994"/>
    <n v="28.93"/>
    <x v="3"/>
    <s v="Siti"/>
    <x v="1"/>
    <x v="1"/>
    <n v="3"/>
  </r>
  <r>
    <x v="92"/>
    <d v="2023-07-23T00:00:00"/>
    <s v="Minggu"/>
    <x v="4"/>
    <s v="Q3"/>
    <n v="2023"/>
    <s v="Sore (16-20)"/>
    <s v="Sania Minyak Goreng"/>
    <x v="4"/>
    <n v="28000"/>
    <n v="2"/>
    <n v="0"/>
    <n v="56000"/>
    <n v="34431"/>
    <n v="21569"/>
    <n v="38.520000000000003"/>
    <x v="4"/>
    <s v="Dewi"/>
    <x v="2"/>
    <x v="0"/>
    <n v="4"/>
  </r>
  <r>
    <x v="93"/>
    <d v="2023-10-09T00:00:00"/>
    <s v="Senin"/>
    <x v="0"/>
    <s v="Q4"/>
    <n v="2023"/>
    <s v="Sore (16-20)"/>
    <s v="Susu Ultra"/>
    <x v="0"/>
    <n v="9000"/>
    <n v="1"/>
    <n v="10"/>
    <n v="8100"/>
    <n v="5481"/>
    <n v="2619"/>
    <n v="32.33"/>
    <x v="4"/>
    <s v="Budi"/>
    <x v="4"/>
    <x v="0"/>
    <n v="2"/>
  </r>
  <r>
    <x v="94"/>
    <d v="2024-09-27T00:00:00"/>
    <s v="Jumat"/>
    <x v="6"/>
    <s v="Q3"/>
    <n v="2024"/>
    <s v="Sore (16-20)"/>
    <s v="Shampo Sunsilk"/>
    <x v="2"/>
    <n v="15000"/>
    <n v="2"/>
    <n v="15"/>
    <n v="25500"/>
    <n v="16827"/>
    <n v="8673"/>
    <n v="34.01"/>
    <x v="4"/>
    <s v="Agus"/>
    <x v="0"/>
    <x v="0"/>
    <n v="1"/>
  </r>
  <r>
    <x v="95"/>
    <d v="2023-10-30T00:00:00"/>
    <s v="Senin"/>
    <x v="0"/>
    <s v="Q4"/>
    <n v="2023"/>
    <s v="Sore (16-20)"/>
    <s v="Deterjen Rinso"/>
    <x v="2"/>
    <n v="22000"/>
    <n v="3"/>
    <n v="0"/>
    <n v="66000"/>
    <n v="37783"/>
    <n v="28217"/>
    <n v="42.75"/>
    <x v="3"/>
    <s v="Siti"/>
    <x v="4"/>
    <x v="0"/>
    <n v="3"/>
  </r>
  <r>
    <x v="96"/>
    <d v="2024-05-08T00:00:00"/>
    <s v="Rabu"/>
    <x v="11"/>
    <s v="Q2"/>
    <n v="2024"/>
    <s v="Sore (16-20)"/>
    <s v="Pasta Gigi Pepsodent"/>
    <x v="2"/>
    <n v="12000"/>
    <n v="2"/>
    <n v="5"/>
    <n v="22800"/>
    <n v="16272"/>
    <n v="6528"/>
    <n v="28.63"/>
    <x v="1"/>
    <s v="Budi"/>
    <x v="1"/>
    <x v="0"/>
    <n v="4"/>
  </r>
  <r>
    <x v="97"/>
    <d v="2023-01-15T00:00:00"/>
    <s v="Minggu"/>
    <x v="2"/>
    <s v="Q1"/>
    <n v="2023"/>
    <s v="Sore (16-20)"/>
    <s v="Softex"/>
    <x v="2"/>
    <n v="18000"/>
    <n v="2"/>
    <n v="5"/>
    <n v="34200"/>
    <n v="20953"/>
    <n v="13247"/>
    <n v="38.729999999999997"/>
    <x v="4"/>
    <s v="Dewi"/>
    <x v="1"/>
    <x v="0"/>
    <n v="2"/>
  </r>
  <r>
    <x v="98"/>
    <d v="2024-04-27T00:00:00"/>
    <s v="Sabtu"/>
    <x v="1"/>
    <s v="Q2"/>
    <n v="2024"/>
    <s v="Sore (16-20)"/>
    <s v="Susu Ultra"/>
    <x v="0"/>
    <n v="9000"/>
    <n v="9"/>
    <n v="0"/>
    <n v="81000"/>
    <n v="57153"/>
    <n v="23847"/>
    <n v="29.44"/>
    <x v="1"/>
    <s v="Rina"/>
    <x v="1"/>
    <x v="1"/>
    <n v="1"/>
  </r>
  <r>
    <x v="99"/>
    <d v="2023-05-24T00:00:00"/>
    <s v="Rabu"/>
    <x v="11"/>
    <s v="Q2"/>
    <n v="2023"/>
    <s v="Malam (20-22)"/>
    <s v="Aqua 1.5L"/>
    <x v="0"/>
    <n v="5000"/>
    <n v="5"/>
    <n v="5"/>
    <n v="23750"/>
    <n v="13531"/>
    <n v="10219"/>
    <n v="43.03"/>
    <x v="1"/>
    <s v="Dewi"/>
    <x v="3"/>
    <x v="1"/>
    <n v="3"/>
  </r>
  <r>
    <x v="100"/>
    <d v="2024-11-17T00:00:00"/>
    <s v="Minggu"/>
    <x v="10"/>
    <s v="Q4"/>
    <n v="2024"/>
    <s v="Malam (20-22)"/>
    <s v="Hand Sanitizer"/>
    <x v="3"/>
    <n v="12000"/>
    <n v="10"/>
    <n v="15"/>
    <n v="102000"/>
    <n v="68699"/>
    <n v="33301"/>
    <n v="32.65"/>
    <x v="2"/>
    <s v="Rina"/>
    <x v="1"/>
    <x v="1"/>
    <n v="1"/>
  </r>
  <r>
    <x v="101"/>
    <d v="2024-12-07T00:00:00"/>
    <s v="Sabtu"/>
    <x v="8"/>
    <s v="Q4"/>
    <n v="2024"/>
    <s v="Sore (16-20)"/>
    <s v="Shampo Sunsilk"/>
    <x v="2"/>
    <n v="15000"/>
    <n v="8"/>
    <n v="5"/>
    <n v="114000"/>
    <n v="81122"/>
    <n v="32878"/>
    <n v="28.84"/>
    <x v="4"/>
    <s v="Rina"/>
    <x v="2"/>
    <x v="0"/>
    <n v="4"/>
  </r>
  <r>
    <x v="102"/>
    <d v="2023-10-10T00:00:00"/>
    <s v="Selasa"/>
    <x v="0"/>
    <s v="Q4"/>
    <n v="2023"/>
    <s v="Sore (16-20)"/>
    <s v="Chitato"/>
    <x v="1"/>
    <n v="12000"/>
    <n v="8"/>
    <n v="0"/>
    <n v="96000"/>
    <n v="63616"/>
    <n v="32384"/>
    <n v="33.729999999999997"/>
    <x v="3"/>
    <s v="Rina"/>
    <x v="0"/>
    <x v="0"/>
    <n v="2"/>
  </r>
  <r>
    <x v="103"/>
    <d v="2024-08-01T00:00:00"/>
    <s v="Kamis"/>
    <x v="9"/>
    <s v="Q3"/>
    <n v="2024"/>
    <s v="Pagi (08-12)"/>
    <s v="Chitato"/>
    <x v="1"/>
    <n v="12000"/>
    <n v="9"/>
    <n v="0"/>
    <n v="108000"/>
    <n v="70166"/>
    <n v="37834"/>
    <n v="35.03"/>
    <x v="1"/>
    <s v="Siti"/>
    <x v="3"/>
    <x v="1"/>
    <n v="2"/>
  </r>
  <r>
    <x v="104"/>
    <d v="2023-05-14T00:00:00"/>
    <s v="Minggu"/>
    <x v="11"/>
    <s v="Q2"/>
    <n v="2023"/>
    <s v="Sore (16-20)"/>
    <s v="Lip Balm Nivea"/>
    <x v="3"/>
    <n v="18000"/>
    <n v="3"/>
    <n v="0"/>
    <n v="54000"/>
    <n v="35769"/>
    <n v="18231"/>
    <n v="33.76"/>
    <x v="0"/>
    <s v="Budi"/>
    <x v="0"/>
    <x v="0"/>
    <n v="5"/>
  </r>
  <r>
    <x v="105"/>
    <d v="2023-11-28T00:00:00"/>
    <s v="Selasa"/>
    <x v="10"/>
    <s v="Q4"/>
    <n v="2023"/>
    <s v="Pagi (08-12)"/>
    <s v="Teh Botol"/>
    <x v="0"/>
    <n v="6000"/>
    <n v="5"/>
    <n v="0"/>
    <n v="30000"/>
    <n v="17146"/>
    <n v="12854"/>
    <n v="42.85"/>
    <x v="2"/>
    <s v="Dewi"/>
    <x v="0"/>
    <x v="1"/>
    <n v="4"/>
  </r>
  <r>
    <x v="106"/>
    <d v="2024-01-06T00:00:00"/>
    <s v="Sabtu"/>
    <x v="2"/>
    <s v="Q1"/>
    <n v="2024"/>
    <s v="Sore (16-20)"/>
    <s v="Kapas Kecantikan"/>
    <x v="3"/>
    <n v="8000"/>
    <n v="2"/>
    <n v="5"/>
    <n v="15200"/>
    <n v="9662"/>
    <n v="5538"/>
    <n v="36.43"/>
    <x v="3"/>
    <s v="Rina"/>
    <x v="4"/>
    <x v="1"/>
    <n v="1"/>
  </r>
  <r>
    <x v="107"/>
    <d v="2023-03-04T00:00:00"/>
    <s v="Sabtu"/>
    <x v="3"/>
    <s v="Q1"/>
    <n v="2023"/>
    <s v="Sore (16-20)"/>
    <s v="Sania Minyak Goreng"/>
    <x v="4"/>
    <n v="28000"/>
    <n v="7"/>
    <n v="15"/>
    <n v="166600"/>
    <n v="94688"/>
    <n v="71912"/>
    <n v="43.16"/>
    <x v="2"/>
    <s v="Rina"/>
    <x v="0"/>
    <x v="0"/>
    <n v="1"/>
  </r>
  <r>
    <x v="108"/>
    <d v="2023-05-10T00:00:00"/>
    <s v="Rabu"/>
    <x v="11"/>
    <s v="Q2"/>
    <n v="2023"/>
    <s v="Sore (16-20)"/>
    <s v="Softex"/>
    <x v="2"/>
    <n v="18000"/>
    <n v="10"/>
    <n v="10"/>
    <n v="162000"/>
    <n v="108713"/>
    <n v="53287"/>
    <n v="32.89"/>
    <x v="2"/>
    <s v="Dewi"/>
    <x v="4"/>
    <x v="1"/>
    <n v="5"/>
  </r>
  <r>
    <x v="109"/>
    <d v="2024-09-11T00:00:00"/>
    <s v="Rabu"/>
    <x v="6"/>
    <s v="Q3"/>
    <n v="2024"/>
    <s v="Malam (20-22)"/>
    <s v="Kecap ABC"/>
    <x v="4"/>
    <n v="14000"/>
    <n v="2"/>
    <n v="20"/>
    <n v="22400"/>
    <n v="14813"/>
    <n v="7587"/>
    <n v="33.869999999999997"/>
    <x v="3"/>
    <s v="Budi"/>
    <x v="1"/>
    <x v="0"/>
    <n v="4"/>
  </r>
  <r>
    <x v="110"/>
    <d v="2023-12-14T00:00:00"/>
    <s v="Kamis"/>
    <x v="8"/>
    <s v="Q4"/>
    <n v="2023"/>
    <s v="Sore (16-20)"/>
    <s v="Sania Minyak Goreng"/>
    <x v="4"/>
    <n v="28000"/>
    <n v="7"/>
    <n v="15"/>
    <n v="166600"/>
    <n v="94323"/>
    <n v="72277"/>
    <n v="43.38"/>
    <x v="2"/>
    <s v="Siti"/>
    <x v="2"/>
    <x v="0"/>
    <n v="4"/>
  </r>
  <r>
    <x v="111"/>
    <d v="2023-03-10T00:00:00"/>
    <s v="Jumat"/>
    <x v="3"/>
    <s v="Q1"/>
    <n v="2023"/>
    <s v="Pagi (08-12)"/>
    <s v="Aqua 1.5L"/>
    <x v="0"/>
    <n v="5000"/>
    <n v="2"/>
    <n v="5"/>
    <n v="9500"/>
    <n v="5381"/>
    <n v="4119"/>
    <n v="43.36"/>
    <x v="4"/>
    <s v="Budi"/>
    <x v="4"/>
    <x v="1"/>
    <n v="1"/>
  </r>
  <r>
    <x v="112"/>
    <d v="2024-02-25T00:00:00"/>
    <s v="Minggu"/>
    <x v="5"/>
    <s v="Q1"/>
    <n v="2024"/>
    <s v="Siang (12-16)"/>
    <s v="Deterjen Rinso"/>
    <x v="2"/>
    <n v="22000"/>
    <n v="1"/>
    <n v="0"/>
    <n v="22000"/>
    <n v="14346"/>
    <n v="7654"/>
    <n v="34.79"/>
    <x v="4"/>
    <s v="Rina"/>
    <x v="4"/>
    <x v="0"/>
    <n v="4"/>
  </r>
  <r>
    <x v="113"/>
    <d v="2023-08-18T00:00:00"/>
    <s v="Jumat"/>
    <x v="9"/>
    <s v="Q3"/>
    <n v="2023"/>
    <s v="Malam (20-22)"/>
    <s v="Pocari Sweat"/>
    <x v="0"/>
    <n v="8000"/>
    <n v="9"/>
    <n v="0"/>
    <n v="72000"/>
    <n v="41006"/>
    <n v="30994"/>
    <n v="43.05"/>
    <x v="4"/>
    <s v="Dewi"/>
    <x v="3"/>
    <x v="0"/>
    <n v="5"/>
  </r>
  <r>
    <x v="114"/>
    <d v="2024-11-04T00:00:00"/>
    <s v="Senin"/>
    <x v="10"/>
    <s v="Q4"/>
    <n v="2024"/>
    <s v="Pagi (08-12)"/>
    <s v="Sabun Lifebuoy"/>
    <x v="2"/>
    <n v="8000"/>
    <n v="3"/>
    <n v="0"/>
    <n v="24000"/>
    <n v="16067"/>
    <n v="7933"/>
    <n v="33.049999999999997"/>
    <x v="4"/>
    <s v="Siti"/>
    <x v="2"/>
    <x v="0"/>
    <n v="2"/>
  </r>
  <r>
    <x v="115"/>
    <d v="2024-08-02T00:00:00"/>
    <s v="Jumat"/>
    <x v="9"/>
    <s v="Q3"/>
    <n v="2024"/>
    <s v="Siang (12-16)"/>
    <s v="Kecap ABC"/>
    <x v="4"/>
    <n v="14000"/>
    <n v="3"/>
    <n v="15"/>
    <n v="35700"/>
    <n v="23478"/>
    <n v="12222"/>
    <n v="34.24"/>
    <x v="0"/>
    <s v="Rina"/>
    <x v="4"/>
    <x v="1"/>
    <n v="4"/>
  </r>
  <r>
    <x v="116"/>
    <d v="2024-04-09T00:00:00"/>
    <s v="Selasa"/>
    <x v="1"/>
    <s v="Q2"/>
    <n v="2024"/>
    <s v="Pagi (08-12)"/>
    <s v="Shampo Sunsilk"/>
    <x v="2"/>
    <n v="15000"/>
    <n v="6"/>
    <n v="0"/>
    <n v="90000"/>
    <n v="60540"/>
    <n v="29460"/>
    <n v="32.729999999999997"/>
    <x v="3"/>
    <s v="Dewi"/>
    <x v="0"/>
    <x v="0"/>
    <n v="2"/>
  </r>
  <r>
    <x v="117"/>
    <d v="2024-09-24T00:00:00"/>
    <s v="Selasa"/>
    <x v="6"/>
    <s v="Q3"/>
    <n v="2024"/>
    <s v="Malam (20-22)"/>
    <s v="Aqua 1.5L"/>
    <x v="0"/>
    <n v="5000"/>
    <n v="5"/>
    <n v="5"/>
    <n v="23750"/>
    <n v="15735"/>
    <n v="8015"/>
    <n v="33.75"/>
    <x v="2"/>
    <s v="Dewi"/>
    <x v="1"/>
    <x v="1"/>
    <n v="2"/>
  </r>
  <r>
    <x v="118"/>
    <d v="2024-06-08T00:00:00"/>
    <s v="Sabtu"/>
    <x v="7"/>
    <s v="Q2"/>
    <n v="2024"/>
    <s v="Sore (16-20)"/>
    <s v="Pocari Sweat"/>
    <x v="0"/>
    <n v="8000"/>
    <n v="7"/>
    <n v="0"/>
    <n v="56000"/>
    <n v="33497"/>
    <n v="22503"/>
    <n v="40.18"/>
    <x v="3"/>
    <s v="Agus"/>
    <x v="4"/>
    <x v="0"/>
    <n v="2"/>
  </r>
  <r>
    <x v="119"/>
    <d v="2024-02-09T00:00:00"/>
    <s v="Jumat"/>
    <x v="5"/>
    <s v="Q1"/>
    <n v="2024"/>
    <s v="Sore (16-20)"/>
    <s v="Pelembab Vaseline"/>
    <x v="3"/>
    <n v="25000"/>
    <n v="1"/>
    <n v="0"/>
    <n v="25000"/>
    <n v="15031"/>
    <n v="9969"/>
    <n v="39.880000000000003"/>
    <x v="1"/>
    <s v="Budi"/>
    <x v="2"/>
    <x v="1"/>
    <n v="1"/>
  </r>
  <r>
    <x v="120"/>
    <d v="2023-01-08T00:00:00"/>
    <s v="Minggu"/>
    <x v="2"/>
    <s v="Q1"/>
    <n v="2023"/>
    <s v="Sore (16-20)"/>
    <s v="Sania Minyak Goreng"/>
    <x v="4"/>
    <n v="28000"/>
    <n v="3"/>
    <n v="0"/>
    <n v="84000"/>
    <n v="51629"/>
    <n v="32371"/>
    <n v="38.54"/>
    <x v="1"/>
    <s v="Dewi"/>
    <x v="4"/>
    <x v="0"/>
    <n v="4"/>
  </r>
  <r>
    <x v="121"/>
    <d v="2023-02-13T00:00:00"/>
    <s v="Senin"/>
    <x v="5"/>
    <s v="Q1"/>
    <n v="2023"/>
    <s v="Malam (20-22)"/>
    <s v="Kecap ABC"/>
    <x v="4"/>
    <n v="14000"/>
    <n v="8"/>
    <n v="0"/>
    <n v="112000"/>
    <n v="78015"/>
    <n v="33985"/>
    <n v="30.34"/>
    <x v="3"/>
    <s v="Agus"/>
    <x v="4"/>
    <x v="1"/>
    <n v="3"/>
  </r>
  <r>
    <x v="122"/>
    <d v="2023-04-28T00:00:00"/>
    <s v="Jumat"/>
    <x v="1"/>
    <s v="Q2"/>
    <n v="2023"/>
    <s v="Pagi (08-12)"/>
    <s v="Kecap ABC"/>
    <x v="4"/>
    <n v="14000"/>
    <n v="6"/>
    <n v="0"/>
    <n v="84000"/>
    <n v="57643"/>
    <n v="26357"/>
    <n v="31.38"/>
    <x v="3"/>
    <s v="Agus"/>
    <x v="2"/>
    <x v="1"/>
    <n v="1"/>
  </r>
  <r>
    <x v="123"/>
    <d v="2023-09-07T00:00:00"/>
    <s v="Kamis"/>
    <x v="6"/>
    <s v="Q3"/>
    <n v="2023"/>
    <s v="Sore (16-20)"/>
    <s v="Gula Pasir 1kg"/>
    <x v="4"/>
    <n v="16000"/>
    <n v="7"/>
    <n v="10"/>
    <n v="100800"/>
    <n v="56788"/>
    <n v="44012"/>
    <n v="43.66"/>
    <x v="4"/>
    <s v="Siti"/>
    <x v="3"/>
    <x v="0"/>
    <n v="1"/>
  </r>
  <r>
    <x v="124"/>
    <d v="2024-06-06T00:00:00"/>
    <s v="Kamis"/>
    <x v="7"/>
    <s v="Q2"/>
    <n v="2024"/>
    <s v="Siang (12-16)"/>
    <s v="Susu Ultra"/>
    <x v="0"/>
    <n v="9000"/>
    <n v="9"/>
    <n v="0"/>
    <n v="81000"/>
    <n v="57025"/>
    <n v="23975"/>
    <n v="29.6"/>
    <x v="4"/>
    <s v="Siti"/>
    <x v="3"/>
    <x v="0"/>
    <n v="2"/>
  </r>
  <r>
    <x v="125"/>
    <d v="2023-09-20T00:00:00"/>
    <s v="Rabu"/>
    <x v="6"/>
    <s v="Q3"/>
    <n v="2023"/>
    <s v="Malam (20-22)"/>
    <s v="Oreo"/>
    <x v="1"/>
    <n v="10000"/>
    <n v="10"/>
    <n v="0"/>
    <n v="100000"/>
    <n v="67924"/>
    <n v="32076"/>
    <n v="32.08"/>
    <x v="0"/>
    <s v="Budi"/>
    <x v="1"/>
    <x v="1"/>
    <n v="5"/>
  </r>
  <r>
    <x v="126"/>
    <d v="2024-10-20T00:00:00"/>
    <s v="Minggu"/>
    <x v="0"/>
    <s v="Q4"/>
    <n v="2024"/>
    <s v="Sore (16-20)"/>
    <s v="Lip Balm Nivea"/>
    <x v="3"/>
    <n v="18000"/>
    <n v="6"/>
    <n v="0"/>
    <n v="108000"/>
    <n v="67474"/>
    <n v="40526"/>
    <n v="37.520000000000003"/>
    <x v="2"/>
    <s v="Agus"/>
    <x v="2"/>
    <x v="0"/>
    <n v="3"/>
  </r>
  <r>
    <x v="127"/>
    <d v="2024-06-03T00:00:00"/>
    <s v="Senin"/>
    <x v="7"/>
    <s v="Q2"/>
    <n v="2024"/>
    <s v="Pagi (08-12)"/>
    <s v="Pocari Sweat"/>
    <x v="0"/>
    <n v="8000"/>
    <n v="8"/>
    <n v="5"/>
    <n v="60800"/>
    <n v="33829"/>
    <n v="26971"/>
    <n v="44.36"/>
    <x v="4"/>
    <s v="Siti"/>
    <x v="0"/>
    <x v="1"/>
    <n v="4"/>
  </r>
  <r>
    <x v="128"/>
    <d v="2024-08-17T00:00:00"/>
    <s v="Sabtu"/>
    <x v="9"/>
    <s v="Q3"/>
    <n v="2024"/>
    <s v="Malam (20-22)"/>
    <s v="Pelembab Vaseline"/>
    <x v="3"/>
    <n v="25000"/>
    <n v="8"/>
    <n v="20"/>
    <n v="160000"/>
    <n v="103549"/>
    <n v="56451"/>
    <n v="35.28"/>
    <x v="1"/>
    <s v="Siti"/>
    <x v="4"/>
    <x v="0"/>
    <n v="1"/>
  </r>
  <r>
    <x v="129"/>
    <d v="2024-04-06T00:00:00"/>
    <s v="Sabtu"/>
    <x v="1"/>
    <s v="Q2"/>
    <n v="2024"/>
    <s v="Malam (20-22)"/>
    <s v="Pocari Sweat"/>
    <x v="0"/>
    <n v="8000"/>
    <n v="2"/>
    <n v="10"/>
    <n v="14400"/>
    <n v="9502"/>
    <n v="4898"/>
    <n v="34.01"/>
    <x v="0"/>
    <s v="Budi"/>
    <x v="1"/>
    <x v="0"/>
    <n v="3"/>
  </r>
  <r>
    <x v="130"/>
    <d v="2024-01-17T00:00:00"/>
    <s v="Rabu"/>
    <x v="2"/>
    <s v="Q1"/>
    <n v="2024"/>
    <s v="Pagi (08-12)"/>
    <s v="Deterjen Rinso"/>
    <x v="2"/>
    <n v="22000"/>
    <n v="7"/>
    <n v="20"/>
    <n v="123200"/>
    <n v="74847"/>
    <n v="48353"/>
    <n v="39.25"/>
    <x v="3"/>
    <s v="Rina"/>
    <x v="2"/>
    <x v="1"/>
    <n v="1"/>
  </r>
  <r>
    <x v="131"/>
    <d v="2024-07-25T00:00:00"/>
    <s v="Kamis"/>
    <x v="4"/>
    <s v="Q3"/>
    <n v="2024"/>
    <s v="Pagi (08-12)"/>
    <s v="Royco Ayam"/>
    <x v="4"/>
    <n v="5000"/>
    <n v="5"/>
    <n v="15"/>
    <n v="21250"/>
    <n v="14764"/>
    <n v="6486"/>
    <n v="30.52"/>
    <x v="3"/>
    <s v="Budi"/>
    <x v="2"/>
    <x v="0"/>
    <n v="3"/>
  </r>
  <r>
    <x v="132"/>
    <d v="2023-11-14T00:00:00"/>
    <s v="Selasa"/>
    <x v="10"/>
    <s v="Q4"/>
    <n v="2023"/>
    <s v="Sore (16-20)"/>
    <s v="Saos Sambal"/>
    <x v="4"/>
    <n v="10000"/>
    <n v="10"/>
    <n v="15"/>
    <n v="85000"/>
    <n v="60304"/>
    <n v="24696"/>
    <n v="29.05"/>
    <x v="4"/>
    <s v="Dewi"/>
    <x v="1"/>
    <x v="0"/>
    <n v="5"/>
  </r>
  <r>
    <x v="133"/>
    <d v="2023-04-06T00:00:00"/>
    <s v="Kamis"/>
    <x v="1"/>
    <s v="Q2"/>
    <n v="2023"/>
    <s v="Malam (20-22)"/>
    <s v="Gula Pasir 1kg"/>
    <x v="4"/>
    <n v="16000"/>
    <n v="6"/>
    <n v="0"/>
    <n v="96000"/>
    <n v="58718"/>
    <n v="37282"/>
    <n v="38.840000000000003"/>
    <x v="1"/>
    <s v="Budi"/>
    <x v="2"/>
    <x v="0"/>
    <n v="2"/>
  </r>
  <r>
    <x v="134"/>
    <d v="2023-05-21T00:00:00"/>
    <s v="Minggu"/>
    <x v="11"/>
    <s v="Q2"/>
    <n v="2023"/>
    <s v="Pagi (08-12)"/>
    <s v="Chitato"/>
    <x v="1"/>
    <n v="12000"/>
    <n v="5"/>
    <n v="20"/>
    <n v="48000"/>
    <n v="32831"/>
    <n v="15169"/>
    <n v="31.6"/>
    <x v="3"/>
    <s v="Dewi"/>
    <x v="4"/>
    <x v="1"/>
    <n v="5"/>
  </r>
  <r>
    <x v="135"/>
    <d v="2023-05-15T00:00:00"/>
    <s v="Senin"/>
    <x v="11"/>
    <s v="Q2"/>
    <n v="2023"/>
    <s v="Pagi (08-12)"/>
    <s v="Hand Sanitizer"/>
    <x v="3"/>
    <n v="12000"/>
    <n v="3"/>
    <n v="0"/>
    <n v="36000"/>
    <n v="20907"/>
    <n v="15093"/>
    <n v="41.93"/>
    <x v="3"/>
    <s v="Budi"/>
    <x v="1"/>
    <x v="1"/>
    <n v="3"/>
  </r>
  <r>
    <x v="136"/>
    <d v="2024-11-23T00:00:00"/>
    <s v="Sabtu"/>
    <x v="10"/>
    <s v="Q4"/>
    <n v="2024"/>
    <s v="Siang (12-16)"/>
    <s v="Indomie Goreng"/>
    <x v="1"/>
    <n v="3500"/>
    <n v="10"/>
    <n v="0"/>
    <n v="35000"/>
    <n v="23727"/>
    <n v="11273"/>
    <n v="32.21"/>
    <x v="2"/>
    <s v="Budi"/>
    <x v="4"/>
    <x v="1"/>
    <n v="4"/>
  </r>
  <r>
    <x v="137"/>
    <d v="2023-07-18T00:00:00"/>
    <s v="Selasa"/>
    <x v="4"/>
    <s v="Q3"/>
    <n v="2023"/>
    <s v="Malam (20-22)"/>
    <s v="Softex"/>
    <x v="2"/>
    <n v="18000"/>
    <n v="8"/>
    <n v="5"/>
    <n v="136800"/>
    <n v="93134"/>
    <n v="43666"/>
    <n v="31.92"/>
    <x v="2"/>
    <s v="Dewi"/>
    <x v="4"/>
    <x v="0"/>
    <n v="2"/>
  </r>
  <r>
    <x v="138"/>
    <d v="2024-09-11T00:00:00"/>
    <s v="Rabu"/>
    <x v="6"/>
    <s v="Q3"/>
    <n v="2024"/>
    <s v="Pagi (08-12)"/>
    <s v="Qtela"/>
    <x v="1"/>
    <n v="14000"/>
    <n v="1"/>
    <n v="15"/>
    <n v="11900"/>
    <n v="7517"/>
    <n v="4383"/>
    <n v="36.83"/>
    <x v="4"/>
    <s v="Dewi"/>
    <x v="0"/>
    <x v="1"/>
    <n v="1"/>
  </r>
  <r>
    <x v="139"/>
    <d v="2023-06-14T00:00:00"/>
    <s v="Rabu"/>
    <x v="7"/>
    <s v="Q2"/>
    <n v="2023"/>
    <s v="Sore (16-20)"/>
    <s v="Deterjen Rinso"/>
    <x v="2"/>
    <n v="22000"/>
    <n v="9"/>
    <n v="0"/>
    <n v="198000"/>
    <n v="136873"/>
    <n v="61127"/>
    <n v="30.87"/>
    <x v="0"/>
    <s v="Budi"/>
    <x v="1"/>
    <x v="0"/>
    <n v="4"/>
  </r>
  <r>
    <x v="140"/>
    <d v="2023-02-24T00:00:00"/>
    <s v="Jumat"/>
    <x v="5"/>
    <s v="Q1"/>
    <n v="2023"/>
    <s v="Pagi (08-12)"/>
    <s v="Gula Pasir 1kg"/>
    <x v="4"/>
    <n v="16000"/>
    <n v="6"/>
    <n v="0"/>
    <n v="96000"/>
    <n v="59102"/>
    <n v="36898"/>
    <n v="38.44"/>
    <x v="0"/>
    <s v="Siti"/>
    <x v="3"/>
    <x v="1"/>
    <n v="1"/>
  </r>
  <r>
    <x v="141"/>
    <d v="2024-10-27T00:00:00"/>
    <s v="Minggu"/>
    <x v="0"/>
    <s v="Q4"/>
    <n v="2024"/>
    <s v="Malam (20-22)"/>
    <s v="Shampo Sunsilk"/>
    <x v="2"/>
    <n v="15000"/>
    <n v="3"/>
    <n v="0"/>
    <n v="45000"/>
    <n v="26945"/>
    <n v="18055"/>
    <n v="40.119999999999997"/>
    <x v="2"/>
    <s v="Budi"/>
    <x v="1"/>
    <x v="0"/>
    <n v="1"/>
  </r>
  <r>
    <x v="142"/>
    <d v="2023-01-20T00:00:00"/>
    <s v="Jumat"/>
    <x v="2"/>
    <s v="Q1"/>
    <n v="2023"/>
    <s v="Pagi (08-12)"/>
    <s v="Shampo Sunsilk"/>
    <x v="2"/>
    <n v="15000"/>
    <n v="3"/>
    <n v="10"/>
    <n v="40500"/>
    <n v="28748"/>
    <n v="11752"/>
    <n v="29.02"/>
    <x v="3"/>
    <s v="Dewi"/>
    <x v="1"/>
    <x v="1"/>
    <n v="2"/>
  </r>
  <r>
    <x v="143"/>
    <d v="2023-11-05T00:00:00"/>
    <s v="Minggu"/>
    <x v="10"/>
    <s v="Q4"/>
    <n v="2023"/>
    <s v="Pagi (08-12)"/>
    <s v="Aqua 1.5L"/>
    <x v="0"/>
    <n v="5000"/>
    <n v="4"/>
    <n v="5"/>
    <n v="19000"/>
    <n v="12514"/>
    <n v="6486"/>
    <n v="34.14"/>
    <x v="3"/>
    <s v="Agus"/>
    <x v="0"/>
    <x v="1"/>
    <n v="5"/>
  </r>
  <r>
    <x v="144"/>
    <d v="2024-07-02T00:00:00"/>
    <s v="Selasa"/>
    <x v="4"/>
    <s v="Q3"/>
    <n v="2024"/>
    <s v="Sore (16-20)"/>
    <s v="Susu Ultra"/>
    <x v="0"/>
    <n v="9000"/>
    <n v="10"/>
    <n v="0"/>
    <n v="90000"/>
    <n v="60494"/>
    <n v="29506"/>
    <n v="32.78"/>
    <x v="4"/>
    <s v="Agus"/>
    <x v="0"/>
    <x v="0"/>
    <n v="5"/>
  </r>
  <r>
    <x v="145"/>
    <d v="2024-03-02T00:00:00"/>
    <s v="Sabtu"/>
    <x v="3"/>
    <s v="Q1"/>
    <n v="2024"/>
    <s v="Pagi (08-12)"/>
    <s v="Chitato"/>
    <x v="1"/>
    <n v="12000"/>
    <n v="9"/>
    <n v="0"/>
    <n v="108000"/>
    <n v="60643"/>
    <n v="47357"/>
    <n v="43.85"/>
    <x v="3"/>
    <s v="Dewi"/>
    <x v="4"/>
    <x v="1"/>
    <n v="4"/>
  </r>
  <r>
    <x v="146"/>
    <d v="2023-02-14T00:00:00"/>
    <s v="Selasa"/>
    <x v="5"/>
    <s v="Q1"/>
    <n v="2023"/>
    <s v="Pagi (08-12)"/>
    <s v="Royco Ayam"/>
    <x v="4"/>
    <n v="5000"/>
    <n v="5"/>
    <n v="15"/>
    <n v="21250"/>
    <n v="11746"/>
    <n v="9504"/>
    <n v="44.72"/>
    <x v="0"/>
    <s v="Siti"/>
    <x v="3"/>
    <x v="1"/>
    <n v="2"/>
  </r>
  <r>
    <x v="147"/>
    <d v="2023-02-15T00:00:00"/>
    <s v="Rabu"/>
    <x v="5"/>
    <s v="Q1"/>
    <n v="2023"/>
    <s v="Siang (12-16)"/>
    <s v="Softex"/>
    <x v="2"/>
    <n v="18000"/>
    <n v="6"/>
    <n v="20"/>
    <n v="86400"/>
    <n v="56961"/>
    <n v="29439"/>
    <n v="34.07"/>
    <x v="2"/>
    <s v="Agus"/>
    <x v="3"/>
    <x v="0"/>
    <n v="4"/>
  </r>
  <r>
    <x v="148"/>
    <d v="2023-02-07T00:00:00"/>
    <s v="Selasa"/>
    <x v="5"/>
    <s v="Q1"/>
    <n v="2023"/>
    <s v="Malam (20-22)"/>
    <s v="Shampo Sunsilk"/>
    <x v="2"/>
    <n v="15000"/>
    <n v="1"/>
    <n v="20"/>
    <n v="12000"/>
    <n v="7007"/>
    <n v="4993"/>
    <n v="41.61"/>
    <x v="0"/>
    <s v="Siti"/>
    <x v="2"/>
    <x v="1"/>
    <n v="3"/>
  </r>
  <r>
    <x v="149"/>
    <d v="2023-02-07T00:00:00"/>
    <s v="Selasa"/>
    <x v="5"/>
    <s v="Q1"/>
    <n v="2023"/>
    <s v="Sore (16-20)"/>
    <s v="Qtela"/>
    <x v="1"/>
    <n v="14000"/>
    <n v="6"/>
    <n v="20"/>
    <n v="67200"/>
    <n v="45880"/>
    <n v="21320"/>
    <n v="31.73"/>
    <x v="4"/>
    <s v="Siti"/>
    <x v="0"/>
    <x v="1"/>
    <n v="4"/>
  </r>
  <r>
    <x v="150"/>
    <d v="2024-03-26T00:00:00"/>
    <s v="Selasa"/>
    <x v="3"/>
    <s v="Q1"/>
    <n v="2024"/>
    <s v="Pagi (08-12)"/>
    <s v="Royco Ayam"/>
    <x v="4"/>
    <n v="5000"/>
    <n v="3"/>
    <n v="5"/>
    <n v="14250"/>
    <n v="9514"/>
    <n v="4736"/>
    <n v="33.24"/>
    <x v="4"/>
    <s v="Dewi"/>
    <x v="2"/>
    <x v="1"/>
    <n v="1"/>
  </r>
  <r>
    <x v="151"/>
    <d v="2024-03-16T00:00:00"/>
    <s v="Sabtu"/>
    <x v="3"/>
    <s v="Q1"/>
    <n v="2024"/>
    <s v="Sore (16-20)"/>
    <s v="Deodorant Rexona"/>
    <x v="3"/>
    <n v="20000"/>
    <n v="9"/>
    <n v="0"/>
    <n v="180000"/>
    <n v="108829"/>
    <n v="71171"/>
    <n v="39.54"/>
    <x v="0"/>
    <s v="Siti"/>
    <x v="2"/>
    <x v="1"/>
    <n v="5"/>
  </r>
  <r>
    <x v="152"/>
    <d v="2024-03-12T00:00:00"/>
    <s v="Selasa"/>
    <x v="3"/>
    <s v="Q1"/>
    <n v="2024"/>
    <s v="Sore (16-20)"/>
    <s v="Indomie Goreng"/>
    <x v="1"/>
    <n v="3500"/>
    <n v="6"/>
    <n v="5"/>
    <n v="19950"/>
    <n v="11116"/>
    <n v="8834"/>
    <n v="44.28"/>
    <x v="4"/>
    <s v="Dewi"/>
    <x v="1"/>
    <x v="0"/>
    <n v="1"/>
  </r>
  <r>
    <x v="153"/>
    <d v="2024-11-18T00:00:00"/>
    <s v="Senin"/>
    <x v="10"/>
    <s v="Q4"/>
    <n v="2024"/>
    <s v="Malam (20-22)"/>
    <s v="Royco Ayam"/>
    <x v="4"/>
    <n v="5000"/>
    <n v="9"/>
    <n v="20"/>
    <n v="36000"/>
    <n v="24389"/>
    <n v="11611"/>
    <n v="32.25"/>
    <x v="1"/>
    <s v="Rina"/>
    <x v="3"/>
    <x v="0"/>
    <n v="2"/>
  </r>
  <r>
    <x v="154"/>
    <d v="2023-03-10T00:00:00"/>
    <s v="Jumat"/>
    <x v="3"/>
    <s v="Q1"/>
    <n v="2023"/>
    <s v="Malam (20-22)"/>
    <s v="Qtela"/>
    <x v="1"/>
    <n v="14000"/>
    <n v="6"/>
    <n v="5"/>
    <n v="79800"/>
    <n v="56770"/>
    <n v="23030"/>
    <n v="28.86"/>
    <x v="0"/>
    <s v="Dewi"/>
    <x v="3"/>
    <x v="1"/>
    <n v="3"/>
  </r>
  <r>
    <x v="155"/>
    <d v="2024-03-30T00:00:00"/>
    <s v="Sabtu"/>
    <x v="3"/>
    <s v="Q1"/>
    <n v="2024"/>
    <s v="Pagi (08-12)"/>
    <s v="Susu Ultra"/>
    <x v="0"/>
    <n v="9000"/>
    <n v="3"/>
    <n v="10"/>
    <n v="24300"/>
    <n v="14881"/>
    <n v="9419"/>
    <n v="38.76"/>
    <x v="4"/>
    <s v="Siti"/>
    <x v="3"/>
    <x v="0"/>
    <n v="2"/>
  </r>
  <r>
    <x v="156"/>
    <d v="2024-05-26T00:00:00"/>
    <s v="Minggu"/>
    <x v="11"/>
    <s v="Q2"/>
    <n v="2024"/>
    <s v="Sore (16-20)"/>
    <s v="Hand Sanitizer"/>
    <x v="3"/>
    <n v="12000"/>
    <n v="9"/>
    <n v="0"/>
    <n v="108000"/>
    <n v="64206"/>
    <n v="43794"/>
    <n v="40.549999999999997"/>
    <x v="4"/>
    <s v="Agus"/>
    <x v="3"/>
    <x v="1"/>
    <n v="2"/>
  </r>
  <r>
    <x v="157"/>
    <d v="2023-05-06T00:00:00"/>
    <s v="Sabtu"/>
    <x v="11"/>
    <s v="Q2"/>
    <n v="2023"/>
    <s v="Sore (16-20)"/>
    <s v="Chitato"/>
    <x v="1"/>
    <n v="12000"/>
    <n v="8"/>
    <n v="0"/>
    <n v="96000"/>
    <n v="67466"/>
    <n v="28534"/>
    <n v="29.72"/>
    <x v="2"/>
    <s v="Rina"/>
    <x v="2"/>
    <x v="0"/>
    <n v="5"/>
  </r>
  <r>
    <x v="158"/>
    <d v="2024-07-09T00:00:00"/>
    <s v="Selasa"/>
    <x v="4"/>
    <s v="Q3"/>
    <n v="2024"/>
    <s v="Siang (12-16)"/>
    <s v="Pasta Gigi Pepsodent"/>
    <x v="2"/>
    <n v="12000"/>
    <n v="3"/>
    <n v="15"/>
    <n v="30600"/>
    <n v="20521"/>
    <n v="10079"/>
    <n v="32.94"/>
    <x v="1"/>
    <s v="Siti"/>
    <x v="4"/>
    <x v="0"/>
    <n v="2"/>
  </r>
  <r>
    <x v="159"/>
    <d v="2023-05-23T00:00:00"/>
    <s v="Selasa"/>
    <x v="11"/>
    <s v="Q2"/>
    <n v="2023"/>
    <s v="Siang (12-16)"/>
    <s v="Indomie Goreng"/>
    <x v="1"/>
    <n v="3500"/>
    <n v="1"/>
    <n v="0"/>
    <n v="3500"/>
    <n v="2255"/>
    <n v="1245"/>
    <n v="35.57"/>
    <x v="4"/>
    <s v="Agus"/>
    <x v="4"/>
    <x v="0"/>
    <n v="1"/>
  </r>
  <r>
    <x v="160"/>
    <d v="2023-11-13T00:00:00"/>
    <s v="Senin"/>
    <x v="10"/>
    <s v="Q4"/>
    <n v="2023"/>
    <s v="Sore (16-20)"/>
    <s v="Sania Minyak Goreng"/>
    <x v="4"/>
    <n v="28000"/>
    <n v="9"/>
    <n v="5"/>
    <n v="239400"/>
    <n v="162973"/>
    <n v="76427"/>
    <n v="31.92"/>
    <x v="3"/>
    <s v="Rina"/>
    <x v="3"/>
    <x v="0"/>
    <n v="4"/>
  </r>
  <r>
    <x v="161"/>
    <d v="2024-04-22T00:00:00"/>
    <s v="Senin"/>
    <x v="1"/>
    <s v="Q2"/>
    <n v="2024"/>
    <s v="Malam (20-22)"/>
    <s v="Lip Balm Nivea"/>
    <x v="3"/>
    <n v="18000"/>
    <n v="3"/>
    <n v="20"/>
    <n v="43200"/>
    <n v="29490"/>
    <n v="13710"/>
    <n v="31.74"/>
    <x v="3"/>
    <s v="Budi"/>
    <x v="3"/>
    <x v="0"/>
    <n v="1"/>
  </r>
  <r>
    <x v="162"/>
    <d v="2024-06-14T00:00:00"/>
    <s v="Jumat"/>
    <x v="7"/>
    <s v="Q2"/>
    <n v="2024"/>
    <s v="Sore (16-20)"/>
    <s v="Qtela"/>
    <x v="1"/>
    <n v="14000"/>
    <n v="3"/>
    <n v="0"/>
    <n v="42000"/>
    <n v="25404"/>
    <n v="16596"/>
    <n v="39.51"/>
    <x v="1"/>
    <s v="Siti"/>
    <x v="4"/>
    <x v="0"/>
    <n v="3"/>
  </r>
  <r>
    <x v="163"/>
    <d v="2023-07-21T00:00:00"/>
    <s v="Jumat"/>
    <x v="4"/>
    <s v="Q3"/>
    <n v="2023"/>
    <s v="Siang (12-16)"/>
    <s v="Lip Balm Nivea"/>
    <x v="3"/>
    <n v="18000"/>
    <n v="3"/>
    <n v="15"/>
    <n v="45900"/>
    <n v="27608"/>
    <n v="18292"/>
    <n v="39.85"/>
    <x v="3"/>
    <s v="Rina"/>
    <x v="4"/>
    <x v="0"/>
    <n v="2"/>
  </r>
  <r>
    <x v="164"/>
    <d v="2024-11-05T00:00:00"/>
    <s v="Selasa"/>
    <x v="10"/>
    <s v="Q4"/>
    <n v="2024"/>
    <s v="Pagi (08-12)"/>
    <s v="Kapas Kecantikan"/>
    <x v="3"/>
    <n v="8000"/>
    <n v="6"/>
    <n v="20"/>
    <n v="38400"/>
    <n v="27151"/>
    <n v="11249"/>
    <n v="29.29"/>
    <x v="0"/>
    <s v="Rina"/>
    <x v="0"/>
    <x v="1"/>
    <n v="2"/>
  </r>
  <r>
    <x v="165"/>
    <d v="2024-08-08T00:00:00"/>
    <s v="Kamis"/>
    <x v="9"/>
    <s v="Q3"/>
    <n v="2024"/>
    <s v="Malam (20-22)"/>
    <s v="Gula Pasir 1kg"/>
    <x v="4"/>
    <n v="16000"/>
    <n v="1"/>
    <n v="5"/>
    <n v="15200"/>
    <n v="10657"/>
    <n v="4543"/>
    <n v="29.89"/>
    <x v="3"/>
    <s v="Siti"/>
    <x v="2"/>
    <x v="0"/>
    <n v="4"/>
  </r>
  <r>
    <x v="166"/>
    <d v="2023-11-01T00:00:00"/>
    <s v="Rabu"/>
    <x v="10"/>
    <s v="Q4"/>
    <n v="2023"/>
    <s v="Sore (16-20)"/>
    <s v="Kecap ABC"/>
    <x v="4"/>
    <n v="14000"/>
    <n v="1"/>
    <n v="0"/>
    <n v="14000"/>
    <n v="8746"/>
    <n v="5254"/>
    <n v="37.53"/>
    <x v="2"/>
    <s v="Agus"/>
    <x v="3"/>
    <x v="0"/>
    <n v="3"/>
  </r>
  <r>
    <x v="167"/>
    <d v="2023-11-23T00:00:00"/>
    <s v="Kamis"/>
    <x v="10"/>
    <s v="Q4"/>
    <n v="2023"/>
    <s v="Siang (12-16)"/>
    <s v="Deterjen Rinso"/>
    <x v="2"/>
    <n v="22000"/>
    <n v="3"/>
    <n v="20"/>
    <n v="52800"/>
    <n v="32366"/>
    <n v="20434"/>
    <n v="38.700000000000003"/>
    <x v="3"/>
    <s v="Rina"/>
    <x v="2"/>
    <x v="1"/>
    <n v="1"/>
  </r>
  <r>
    <x v="168"/>
    <d v="2023-10-01T00:00:00"/>
    <s v="Minggu"/>
    <x v="0"/>
    <s v="Q4"/>
    <n v="2023"/>
    <s v="Siang (12-16)"/>
    <s v="Saos Sambal"/>
    <x v="4"/>
    <n v="10000"/>
    <n v="3"/>
    <n v="0"/>
    <n v="30000"/>
    <n v="16758"/>
    <n v="13242"/>
    <n v="44.14"/>
    <x v="2"/>
    <s v="Dewi"/>
    <x v="1"/>
    <x v="0"/>
    <n v="3"/>
  </r>
  <r>
    <x v="169"/>
    <d v="2024-08-14T00:00:00"/>
    <s v="Rabu"/>
    <x v="9"/>
    <s v="Q3"/>
    <n v="2024"/>
    <s v="Malam (20-22)"/>
    <s v="Shampo Sunsilk"/>
    <x v="2"/>
    <n v="15000"/>
    <n v="3"/>
    <n v="5"/>
    <n v="42750"/>
    <n v="30751"/>
    <n v="11999"/>
    <n v="28.07"/>
    <x v="2"/>
    <s v="Agus"/>
    <x v="2"/>
    <x v="0"/>
    <n v="1"/>
  </r>
  <r>
    <x v="170"/>
    <d v="2024-02-07T00:00:00"/>
    <s v="Rabu"/>
    <x v="5"/>
    <s v="Q1"/>
    <n v="2024"/>
    <s v="Malam (20-22)"/>
    <s v="Hand Sanitizer"/>
    <x v="3"/>
    <n v="12000"/>
    <n v="4"/>
    <n v="0"/>
    <n v="48000"/>
    <n v="31160"/>
    <n v="16840"/>
    <n v="35.08"/>
    <x v="0"/>
    <s v="Rina"/>
    <x v="2"/>
    <x v="1"/>
    <n v="3"/>
  </r>
  <r>
    <x v="171"/>
    <d v="2024-07-03T00:00:00"/>
    <s v="Rabu"/>
    <x v="4"/>
    <s v="Q3"/>
    <n v="2024"/>
    <s v="Pagi (08-12)"/>
    <s v="Aqua 1.5L"/>
    <x v="0"/>
    <n v="5000"/>
    <n v="7"/>
    <n v="0"/>
    <n v="35000"/>
    <n v="24501"/>
    <n v="10499"/>
    <n v="30"/>
    <x v="4"/>
    <s v="Agus"/>
    <x v="2"/>
    <x v="1"/>
    <n v="1"/>
  </r>
  <r>
    <x v="172"/>
    <d v="2024-08-06T00:00:00"/>
    <s v="Selasa"/>
    <x v="9"/>
    <s v="Q3"/>
    <n v="2024"/>
    <s v="Sore (16-20)"/>
    <s v="Deodorant Rexona"/>
    <x v="3"/>
    <n v="20000"/>
    <n v="6"/>
    <n v="10"/>
    <n v="108000"/>
    <n v="64699"/>
    <n v="43301"/>
    <n v="40.090000000000003"/>
    <x v="2"/>
    <s v="Dewi"/>
    <x v="1"/>
    <x v="0"/>
    <n v="2"/>
  </r>
  <r>
    <x v="173"/>
    <d v="2023-04-10T00:00:00"/>
    <s v="Senin"/>
    <x v="1"/>
    <s v="Q2"/>
    <n v="2023"/>
    <s v="Malam (20-22)"/>
    <s v="Royco Ayam"/>
    <x v="4"/>
    <n v="5000"/>
    <n v="6"/>
    <n v="10"/>
    <n v="27000"/>
    <n v="19160"/>
    <n v="7840"/>
    <n v="29.04"/>
    <x v="1"/>
    <s v="Budi"/>
    <x v="4"/>
    <x v="0"/>
    <n v="1"/>
  </r>
  <r>
    <x v="174"/>
    <d v="2023-02-09T00:00:00"/>
    <s v="Kamis"/>
    <x v="5"/>
    <s v="Q1"/>
    <n v="2023"/>
    <s v="Sore (16-20)"/>
    <s v="Qtela"/>
    <x v="1"/>
    <n v="14000"/>
    <n v="8"/>
    <n v="10"/>
    <n v="100800"/>
    <n v="63271"/>
    <n v="37529"/>
    <n v="37.229999999999997"/>
    <x v="3"/>
    <s v="Dewi"/>
    <x v="3"/>
    <x v="1"/>
    <n v="2"/>
  </r>
  <r>
    <x v="175"/>
    <d v="2024-02-07T00:00:00"/>
    <s v="Rabu"/>
    <x v="5"/>
    <s v="Q1"/>
    <n v="2024"/>
    <s v="Sore (16-20)"/>
    <s v="Lip Balm Nivea"/>
    <x v="3"/>
    <n v="18000"/>
    <n v="10"/>
    <n v="0"/>
    <n v="180000"/>
    <n v="114524"/>
    <n v="65476"/>
    <n v="36.380000000000003"/>
    <x v="3"/>
    <s v="Dewi"/>
    <x v="1"/>
    <x v="1"/>
    <n v="1"/>
  </r>
  <r>
    <x v="176"/>
    <d v="2024-01-13T00:00:00"/>
    <s v="Sabtu"/>
    <x v="2"/>
    <s v="Q1"/>
    <n v="2024"/>
    <s v="Sore (16-20)"/>
    <s v="Sabun Lifebuoy"/>
    <x v="2"/>
    <n v="8000"/>
    <n v="7"/>
    <n v="10"/>
    <n v="50400"/>
    <n v="30356"/>
    <n v="20044"/>
    <n v="39.770000000000003"/>
    <x v="0"/>
    <s v="Dewi"/>
    <x v="1"/>
    <x v="0"/>
    <n v="1"/>
  </r>
  <r>
    <x v="177"/>
    <d v="2024-08-20T00:00:00"/>
    <s v="Selasa"/>
    <x v="9"/>
    <s v="Q3"/>
    <n v="2024"/>
    <s v="Pagi (08-12)"/>
    <s v="Saos Sambal"/>
    <x v="4"/>
    <n v="10000"/>
    <n v="9"/>
    <n v="15"/>
    <n v="76500"/>
    <n v="51454"/>
    <n v="25046"/>
    <n v="32.74"/>
    <x v="2"/>
    <s v="Budi"/>
    <x v="3"/>
    <x v="0"/>
    <n v="2"/>
  </r>
  <r>
    <x v="178"/>
    <d v="2023-01-20T00:00:00"/>
    <s v="Jumat"/>
    <x v="2"/>
    <s v="Q1"/>
    <n v="2023"/>
    <s v="Malam (20-22)"/>
    <s v="Royco Ayam"/>
    <x v="4"/>
    <n v="5000"/>
    <n v="7"/>
    <n v="0"/>
    <n v="35000"/>
    <n v="21707"/>
    <n v="13293"/>
    <n v="37.979999999999997"/>
    <x v="1"/>
    <s v="Agus"/>
    <x v="4"/>
    <x v="0"/>
    <n v="2"/>
  </r>
  <r>
    <x v="179"/>
    <d v="2024-06-15T00:00:00"/>
    <s v="Sabtu"/>
    <x v="7"/>
    <s v="Q2"/>
    <n v="2024"/>
    <s v="Malam (20-22)"/>
    <s v="Cheetos"/>
    <x v="1"/>
    <n v="11000"/>
    <n v="6"/>
    <n v="15"/>
    <n v="56100"/>
    <n v="35417"/>
    <n v="20683"/>
    <n v="36.869999999999997"/>
    <x v="2"/>
    <s v="Siti"/>
    <x v="3"/>
    <x v="1"/>
    <n v="5"/>
  </r>
  <r>
    <x v="180"/>
    <d v="2023-12-29T00:00:00"/>
    <s v="Jumat"/>
    <x v="8"/>
    <s v="Q4"/>
    <n v="2023"/>
    <s v="Siang (12-16)"/>
    <s v="Softex"/>
    <x v="2"/>
    <n v="18000"/>
    <n v="8"/>
    <n v="0"/>
    <n v="144000"/>
    <n v="102636"/>
    <n v="41364"/>
    <n v="28.73"/>
    <x v="4"/>
    <s v="Dewi"/>
    <x v="2"/>
    <x v="1"/>
    <n v="3"/>
  </r>
  <r>
    <x v="181"/>
    <d v="2024-12-22T00:00:00"/>
    <s v="Minggu"/>
    <x v="8"/>
    <s v="Q4"/>
    <n v="2024"/>
    <s v="Malam (20-22)"/>
    <s v="Indomie Goreng"/>
    <x v="1"/>
    <n v="3500"/>
    <n v="6"/>
    <n v="5"/>
    <n v="19950"/>
    <n v="12155"/>
    <n v="7795"/>
    <n v="39.07"/>
    <x v="4"/>
    <s v="Siti"/>
    <x v="0"/>
    <x v="1"/>
    <n v="3"/>
  </r>
  <r>
    <x v="182"/>
    <d v="2023-05-30T00:00:00"/>
    <s v="Selasa"/>
    <x v="11"/>
    <s v="Q2"/>
    <n v="2023"/>
    <s v="Siang (12-16)"/>
    <s v="Sabun Lifebuoy"/>
    <x v="2"/>
    <n v="8000"/>
    <n v="5"/>
    <n v="15"/>
    <n v="34000"/>
    <n v="19157"/>
    <n v="14843"/>
    <n v="43.66"/>
    <x v="2"/>
    <s v="Siti"/>
    <x v="1"/>
    <x v="0"/>
    <n v="5"/>
  </r>
  <r>
    <x v="183"/>
    <d v="2023-10-05T00:00:00"/>
    <s v="Kamis"/>
    <x v="0"/>
    <s v="Q4"/>
    <n v="2023"/>
    <s v="Pagi (08-12)"/>
    <s v="Lip Balm Nivea"/>
    <x v="3"/>
    <n v="18000"/>
    <n v="3"/>
    <n v="0"/>
    <n v="54000"/>
    <n v="35352"/>
    <n v="18648"/>
    <n v="34.53"/>
    <x v="3"/>
    <s v="Budi"/>
    <x v="3"/>
    <x v="0"/>
    <n v="2"/>
  </r>
  <r>
    <x v="184"/>
    <d v="2023-02-23T00:00:00"/>
    <s v="Kamis"/>
    <x v="5"/>
    <s v="Q1"/>
    <n v="2023"/>
    <s v="Siang (12-16)"/>
    <s v="Kopi Kapal Api"/>
    <x v="0"/>
    <n v="12000"/>
    <n v="6"/>
    <n v="15"/>
    <n v="61200"/>
    <n v="38575"/>
    <n v="22625"/>
    <n v="36.97"/>
    <x v="1"/>
    <s v="Rina"/>
    <x v="4"/>
    <x v="1"/>
    <n v="4"/>
  </r>
  <r>
    <x v="185"/>
    <d v="2024-05-03T00:00:00"/>
    <s v="Jumat"/>
    <x v="11"/>
    <s v="Q2"/>
    <n v="2024"/>
    <s v="Pagi (08-12)"/>
    <s v="Qtela"/>
    <x v="1"/>
    <n v="14000"/>
    <n v="6"/>
    <n v="0"/>
    <n v="84000"/>
    <n v="55423"/>
    <n v="28577"/>
    <n v="34.020000000000003"/>
    <x v="0"/>
    <s v="Dewi"/>
    <x v="3"/>
    <x v="0"/>
    <n v="4"/>
  </r>
  <r>
    <x v="186"/>
    <d v="2023-06-30T00:00:00"/>
    <s v="Jumat"/>
    <x v="7"/>
    <s v="Q2"/>
    <n v="2023"/>
    <s v="Sore (16-20)"/>
    <s v="Kopi Kapal Api"/>
    <x v="0"/>
    <n v="12000"/>
    <n v="8"/>
    <n v="0"/>
    <n v="96000"/>
    <n v="68085"/>
    <n v="27915"/>
    <n v="29.08"/>
    <x v="4"/>
    <s v="Rina"/>
    <x v="0"/>
    <x v="0"/>
    <n v="3"/>
  </r>
  <r>
    <x v="187"/>
    <d v="2023-10-19T00:00:00"/>
    <s v="Kamis"/>
    <x v="0"/>
    <s v="Q4"/>
    <n v="2023"/>
    <s v="Sore (16-20)"/>
    <s v="Gula Pasir 1kg"/>
    <x v="4"/>
    <n v="16000"/>
    <n v="9"/>
    <n v="5"/>
    <n v="136800"/>
    <n v="95921"/>
    <n v="40879"/>
    <n v="29.88"/>
    <x v="1"/>
    <s v="Dewi"/>
    <x v="1"/>
    <x v="0"/>
    <n v="1"/>
  </r>
  <r>
    <x v="188"/>
    <d v="2023-12-05T00:00:00"/>
    <s v="Selasa"/>
    <x v="8"/>
    <s v="Q4"/>
    <n v="2023"/>
    <s v="Siang (12-16)"/>
    <s v="Indomie Goreng"/>
    <x v="1"/>
    <n v="3500"/>
    <n v="5"/>
    <n v="15"/>
    <n v="14875"/>
    <n v="8652"/>
    <n v="6223"/>
    <n v="41.84"/>
    <x v="4"/>
    <s v="Siti"/>
    <x v="4"/>
    <x v="0"/>
    <n v="5"/>
  </r>
  <r>
    <x v="189"/>
    <d v="2024-10-16T00:00:00"/>
    <s v="Rabu"/>
    <x v="0"/>
    <s v="Q4"/>
    <n v="2024"/>
    <s v="Malam (20-22)"/>
    <s v="Sania Minyak Goreng"/>
    <x v="4"/>
    <n v="28000"/>
    <n v="9"/>
    <n v="0"/>
    <n v="252000"/>
    <n v="142316"/>
    <n v="109684"/>
    <n v="43.53"/>
    <x v="0"/>
    <s v="Budi"/>
    <x v="3"/>
    <x v="1"/>
    <n v="2"/>
  </r>
  <r>
    <x v="190"/>
    <d v="2023-01-07T00:00:00"/>
    <s v="Sabtu"/>
    <x v="2"/>
    <s v="Q1"/>
    <n v="2023"/>
    <s v="Pagi (08-12)"/>
    <s v="Deterjen Rinso"/>
    <x v="2"/>
    <n v="22000"/>
    <n v="4"/>
    <n v="5"/>
    <n v="83600"/>
    <n v="56692"/>
    <n v="26908"/>
    <n v="32.19"/>
    <x v="4"/>
    <s v="Siti"/>
    <x v="4"/>
    <x v="1"/>
    <n v="3"/>
  </r>
  <r>
    <x v="191"/>
    <d v="2024-12-10T00:00:00"/>
    <s v="Selasa"/>
    <x v="8"/>
    <s v="Q4"/>
    <n v="2024"/>
    <s v="Pagi (08-12)"/>
    <s v="Chitato"/>
    <x v="1"/>
    <n v="12000"/>
    <n v="2"/>
    <n v="5"/>
    <n v="22800"/>
    <n v="13729"/>
    <n v="9071"/>
    <n v="39.79"/>
    <x v="2"/>
    <s v="Dewi"/>
    <x v="2"/>
    <x v="1"/>
    <n v="3"/>
  </r>
  <r>
    <x v="192"/>
    <d v="2024-09-21T00:00:00"/>
    <s v="Sabtu"/>
    <x v="6"/>
    <s v="Q3"/>
    <n v="2024"/>
    <s v="Malam (20-22)"/>
    <s v="Oreo"/>
    <x v="1"/>
    <n v="10000"/>
    <n v="3"/>
    <n v="5"/>
    <n v="28500"/>
    <n v="16417"/>
    <n v="12083"/>
    <n v="42.4"/>
    <x v="3"/>
    <s v="Siti"/>
    <x v="1"/>
    <x v="0"/>
    <n v="2"/>
  </r>
  <r>
    <x v="193"/>
    <d v="2024-11-27T00:00:00"/>
    <s v="Rabu"/>
    <x v="10"/>
    <s v="Q4"/>
    <n v="2024"/>
    <s v="Pagi (08-12)"/>
    <s v="Pelembab Vaseline"/>
    <x v="3"/>
    <n v="25000"/>
    <n v="9"/>
    <n v="5"/>
    <n v="213750"/>
    <n v="136755"/>
    <n v="76995"/>
    <n v="36.020000000000003"/>
    <x v="4"/>
    <s v="Rina"/>
    <x v="4"/>
    <x v="0"/>
    <n v="5"/>
  </r>
  <r>
    <x v="194"/>
    <d v="2024-06-01T00:00:00"/>
    <s v="Sabtu"/>
    <x v="7"/>
    <s v="Q2"/>
    <n v="2024"/>
    <s v="Siang (12-16)"/>
    <s v="Cheetos"/>
    <x v="1"/>
    <n v="11000"/>
    <n v="9"/>
    <n v="0"/>
    <n v="99000"/>
    <n v="57219"/>
    <n v="41781"/>
    <n v="42.2"/>
    <x v="3"/>
    <s v="Agus"/>
    <x v="0"/>
    <x v="1"/>
    <n v="1"/>
  </r>
  <r>
    <x v="195"/>
    <d v="2024-06-06T00:00:00"/>
    <s v="Kamis"/>
    <x v="7"/>
    <s v="Q2"/>
    <n v="2024"/>
    <s v="Malam (20-22)"/>
    <s v="Kecap ABC"/>
    <x v="4"/>
    <n v="14000"/>
    <n v="8"/>
    <n v="0"/>
    <n v="112000"/>
    <n v="71372"/>
    <n v="40628"/>
    <n v="36.270000000000003"/>
    <x v="2"/>
    <s v="Dewi"/>
    <x v="0"/>
    <x v="1"/>
    <n v="1"/>
  </r>
  <r>
    <x v="196"/>
    <d v="2024-02-10T00:00:00"/>
    <s v="Sabtu"/>
    <x v="5"/>
    <s v="Q1"/>
    <n v="2024"/>
    <s v="Pagi (08-12)"/>
    <s v="Sabun Lifebuoy"/>
    <x v="2"/>
    <n v="8000"/>
    <n v="4"/>
    <n v="10"/>
    <n v="28800"/>
    <n v="16198"/>
    <n v="12602"/>
    <n v="43.76"/>
    <x v="2"/>
    <s v="Siti"/>
    <x v="0"/>
    <x v="0"/>
    <n v="4"/>
  </r>
  <r>
    <x v="197"/>
    <d v="2023-02-02T00:00:00"/>
    <s v="Kamis"/>
    <x v="5"/>
    <s v="Q1"/>
    <n v="2023"/>
    <s v="Malam (20-22)"/>
    <s v="Deterjen Rinso"/>
    <x v="2"/>
    <n v="22000"/>
    <n v="3"/>
    <n v="20"/>
    <n v="52800"/>
    <n v="30256"/>
    <n v="22544"/>
    <n v="42.7"/>
    <x v="2"/>
    <s v="Siti"/>
    <x v="1"/>
    <x v="1"/>
    <n v="4"/>
  </r>
  <r>
    <x v="198"/>
    <d v="2023-03-24T00:00:00"/>
    <s v="Jumat"/>
    <x v="3"/>
    <s v="Q1"/>
    <n v="2023"/>
    <s v="Siang (12-16)"/>
    <s v="Deodorant Rexona"/>
    <x v="3"/>
    <n v="20000"/>
    <n v="6"/>
    <n v="0"/>
    <n v="120000"/>
    <n v="69641"/>
    <n v="50359"/>
    <n v="41.97"/>
    <x v="3"/>
    <s v="Agus"/>
    <x v="4"/>
    <x v="0"/>
    <n v="1"/>
  </r>
  <r>
    <x v="199"/>
    <d v="2023-01-24T00:00:00"/>
    <s v="Selasa"/>
    <x v="2"/>
    <s v="Q1"/>
    <n v="2023"/>
    <s v="Sore (16-20)"/>
    <s v="Deterjen Rinso"/>
    <x v="2"/>
    <n v="22000"/>
    <n v="9"/>
    <n v="5"/>
    <n v="188100"/>
    <n v="120465"/>
    <n v="67635"/>
    <n v="35.96"/>
    <x v="1"/>
    <s v="Budi"/>
    <x v="1"/>
    <x v="0"/>
    <n v="3"/>
  </r>
  <r>
    <x v="200"/>
    <d v="2023-07-13T00:00:00"/>
    <s v="Kamis"/>
    <x v="4"/>
    <s v="Q3"/>
    <n v="2023"/>
    <s v="Pagi (08-12)"/>
    <s v="Aqua 1.5L"/>
    <x v="0"/>
    <n v="5000"/>
    <n v="7"/>
    <n v="10"/>
    <n v="31500"/>
    <n v="21427"/>
    <n v="10073"/>
    <n v="31.98"/>
    <x v="0"/>
    <s v="Budi"/>
    <x v="3"/>
    <x v="0"/>
    <n v="5"/>
  </r>
  <r>
    <x v="201"/>
    <d v="2023-02-04T00:00:00"/>
    <s v="Sabtu"/>
    <x v="5"/>
    <s v="Q1"/>
    <n v="2023"/>
    <s v="Siang (12-16)"/>
    <s v="Gula Pasir 1kg"/>
    <x v="4"/>
    <n v="16000"/>
    <n v="1"/>
    <n v="0"/>
    <n v="16000"/>
    <n v="10814"/>
    <n v="5186"/>
    <n v="32.409999999999997"/>
    <x v="2"/>
    <s v="Agus"/>
    <x v="3"/>
    <x v="0"/>
    <n v="2"/>
  </r>
  <r>
    <x v="202"/>
    <d v="2024-05-30T00:00:00"/>
    <s v="Kamis"/>
    <x v="11"/>
    <s v="Q2"/>
    <n v="2024"/>
    <s v="Siang (12-16)"/>
    <s v="Shampo Sunsilk"/>
    <x v="2"/>
    <n v="15000"/>
    <n v="10"/>
    <n v="0"/>
    <n v="150000"/>
    <n v="97226"/>
    <n v="52774"/>
    <n v="35.18"/>
    <x v="4"/>
    <s v="Budi"/>
    <x v="2"/>
    <x v="0"/>
    <n v="4"/>
  </r>
  <r>
    <x v="203"/>
    <d v="2023-11-04T00:00:00"/>
    <s v="Sabtu"/>
    <x v="10"/>
    <s v="Q4"/>
    <n v="2023"/>
    <s v="Malam (20-22)"/>
    <s v="Sabun Lifebuoy"/>
    <x v="2"/>
    <n v="8000"/>
    <n v="9"/>
    <n v="10"/>
    <n v="64800"/>
    <n v="45331"/>
    <n v="19469"/>
    <n v="30.04"/>
    <x v="1"/>
    <s v="Agus"/>
    <x v="4"/>
    <x v="0"/>
    <n v="3"/>
  </r>
  <r>
    <x v="204"/>
    <d v="2024-10-20T00:00:00"/>
    <s v="Minggu"/>
    <x v="0"/>
    <s v="Q4"/>
    <n v="2024"/>
    <s v="Siang (12-16)"/>
    <s v="Gula Pasir 1kg"/>
    <x v="4"/>
    <n v="16000"/>
    <n v="6"/>
    <n v="15"/>
    <n v="81600"/>
    <n v="50655"/>
    <n v="30945"/>
    <n v="37.92"/>
    <x v="1"/>
    <s v="Siti"/>
    <x v="1"/>
    <x v="1"/>
    <n v="2"/>
  </r>
  <r>
    <x v="205"/>
    <d v="2023-08-19T00:00:00"/>
    <s v="Sabtu"/>
    <x v="9"/>
    <s v="Q3"/>
    <n v="2023"/>
    <s v="Siang (12-16)"/>
    <s v="Shampo Sunsilk"/>
    <x v="2"/>
    <n v="15000"/>
    <n v="8"/>
    <n v="0"/>
    <n v="120000"/>
    <n v="77473"/>
    <n v="42527"/>
    <n v="35.44"/>
    <x v="2"/>
    <s v="Dewi"/>
    <x v="4"/>
    <x v="1"/>
    <n v="2"/>
  </r>
  <r>
    <x v="206"/>
    <d v="2023-09-19T00:00:00"/>
    <s v="Selasa"/>
    <x v="6"/>
    <s v="Q3"/>
    <n v="2023"/>
    <s v="Pagi (08-12)"/>
    <s v="Qtela"/>
    <x v="1"/>
    <n v="14000"/>
    <n v="2"/>
    <n v="5"/>
    <n v="26600"/>
    <n v="18461"/>
    <n v="8139"/>
    <n v="30.6"/>
    <x v="0"/>
    <s v="Dewi"/>
    <x v="3"/>
    <x v="1"/>
    <n v="4"/>
  </r>
  <r>
    <x v="207"/>
    <d v="2024-11-20T00:00:00"/>
    <s v="Rabu"/>
    <x v="10"/>
    <s v="Q4"/>
    <n v="2024"/>
    <s v="Malam (20-22)"/>
    <s v="Kapas Kecantikan"/>
    <x v="3"/>
    <n v="8000"/>
    <n v="1"/>
    <n v="20"/>
    <n v="6400"/>
    <n v="3599"/>
    <n v="2801"/>
    <n v="43.77"/>
    <x v="3"/>
    <s v="Dewi"/>
    <x v="3"/>
    <x v="0"/>
    <n v="3"/>
  </r>
  <r>
    <x v="208"/>
    <d v="2023-11-07T00:00:00"/>
    <s v="Selasa"/>
    <x v="10"/>
    <s v="Q4"/>
    <n v="2023"/>
    <s v="Siang (12-16)"/>
    <s v="Teh Botol"/>
    <x v="0"/>
    <n v="6000"/>
    <n v="4"/>
    <n v="15"/>
    <n v="20400"/>
    <n v="11627"/>
    <n v="8773"/>
    <n v="43"/>
    <x v="2"/>
    <s v="Budi"/>
    <x v="4"/>
    <x v="1"/>
    <n v="2"/>
  </r>
  <r>
    <x v="209"/>
    <d v="2024-07-19T00:00:00"/>
    <s v="Jumat"/>
    <x v="4"/>
    <s v="Q3"/>
    <n v="2024"/>
    <s v="Sore (16-20)"/>
    <s v="Pasta Gigi Pepsodent"/>
    <x v="2"/>
    <n v="12000"/>
    <n v="7"/>
    <n v="5"/>
    <n v="79800"/>
    <n v="51129"/>
    <n v="28671"/>
    <n v="35.93"/>
    <x v="4"/>
    <s v="Siti"/>
    <x v="2"/>
    <x v="1"/>
    <n v="4"/>
  </r>
  <r>
    <x v="210"/>
    <d v="2023-04-11T00:00:00"/>
    <s v="Selasa"/>
    <x v="1"/>
    <s v="Q2"/>
    <n v="2023"/>
    <s v="Siang (12-16)"/>
    <s v="Royco Ayam"/>
    <x v="4"/>
    <n v="5000"/>
    <n v="4"/>
    <n v="0"/>
    <n v="20000"/>
    <n v="12064"/>
    <n v="7936"/>
    <n v="39.68"/>
    <x v="0"/>
    <s v="Dewi"/>
    <x v="3"/>
    <x v="0"/>
    <n v="3"/>
  </r>
  <r>
    <x v="211"/>
    <d v="2024-07-20T00:00:00"/>
    <s v="Sabtu"/>
    <x v="4"/>
    <s v="Q3"/>
    <n v="2024"/>
    <s v="Siang (12-16)"/>
    <s v="Kapas Kecantikan"/>
    <x v="3"/>
    <n v="8000"/>
    <n v="7"/>
    <n v="0"/>
    <n v="56000"/>
    <n v="32251"/>
    <n v="23749"/>
    <n v="42.41"/>
    <x v="4"/>
    <s v="Budi"/>
    <x v="1"/>
    <x v="1"/>
    <n v="5"/>
  </r>
  <r>
    <x v="212"/>
    <d v="2024-11-01T00:00:00"/>
    <s v="Jumat"/>
    <x v="10"/>
    <s v="Q4"/>
    <n v="2024"/>
    <s v="Sore (16-20)"/>
    <s v="Pasta Gigi Pepsodent"/>
    <x v="2"/>
    <n v="12000"/>
    <n v="8"/>
    <n v="15"/>
    <n v="81600"/>
    <n v="53782"/>
    <n v="27818"/>
    <n v="34.090000000000003"/>
    <x v="2"/>
    <s v="Agus"/>
    <x v="3"/>
    <x v="0"/>
    <n v="2"/>
  </r>
  <r>
    <x v="213"/>
    <d v="2024-07-13T00:00:00"/>
    <s v="Sabtu"/>
    <x v="4"/>
    <s v="Q3"/>
    <n v="2024"/>
    <s v="Pagi (08-12)"/>
    <s v="Saos Sambal"/>
    <x v="4"/>
    <n v="10000"/>
    <n v="9"/>
    <n v="15"/>
    <n v="76500"/>
    <n v="54524"/>
    <n v="21976"/>
    <n v="28.73"/>
    <x v="3"/>
    <s v="Rina"/>
    <x v="0"/>
    <x v="0"/>
    <n v="4"/>
  </r>
  <r>
    <x v="214"/>
    <d v="2023-05-21T00:00:00"/>
    <s v="Minggu"/>
    <x v="11"/>
    <s v="Q2"/>
    <n v="2023"/>
    <s v="Malam (20-22)"/>
    <s v="Chitato"/>
    <x v="1"/>
    <n v="12000"/>
    <n v="3"/>
    <n v="0"/>
    <n v="36000"/>
    <n v="21139"/>
    <n v="14861"/>
    <n v="41.28"/>
    <x v="2"/>
    <s v="Siti"/>
    <x v="0"/>
    <x v="1"/>
    <n v="1"/>
  </r>
  <r>
    <x v="215"/>
    <d v="2023-01-07T00:00:00"/>
    <s v="Sabtu"/>
    <x v="2"/>
    <s v="Q1"/>
    <n v="2023"/>
    <s v="Pagi (08-12)"/>
    <s v="Kapas Kecantikan"/>
    <x v="3"/>
    <n v="8000"/>
    <n v="7"/>
    <n v="0"/>
    <n v="56000"/>
    <n v="30959"/>
    <n v="25041"/>
    <n v="44.72"/>
    <x v="4"/>
    <s v="Dewi"/>
    <x v="2"/>
    <x v="1"/>
    <n v="2"/>
  </r>
  <r>
    <x v="216"/>
    <d v="2023-04-20T00:00:00"/>
    <s v="Kamis"/>
    <x v="1"/>
    <s v="Q2"/>
    <n v="2023"/>
    <s v="Sore (16-20)"/>
    <s v="Susu Ultra"/>
    <x v="0"/>
    <n v="9000"/>
    <n v="3"/>
    <n v="0"/>
    <n v="27000"/>
    <n v="15731"/>
    <n v="11269"/>
    <n v="41.74"/>
    <x v="3"/>
    <s v="Siti"/>
    <x v="2"/>
    <x v="1"/>
    <n v="1"/>
  </r>
  <r>
    <x v="217"/>
    <d v="2024-01-18T00:00:00"/>
    <s v="Kamis"/>
    <x v="2"/>
    <s v="Q1"/>
    <n v="2024"/>
    <s v="Pagi (08-12)"/>
    <s v="Sania Minyak Goreng"/>
    <x v="4"/>
    <n v="28000"/>
    <n v="10"/>
    <n v="0"/>
    <n v="280000"/>
    <n v="201135"/>
    <n v="78865"/>
    <n v="28.17"/>
    <x v="1"/>
    <s v="Siti"/>
    <x v="0"/>
    <x v="0"/>
    <n v="4"/>
  </r>
  <r>
    <x v="218"/>
    <d v="2024-01-24T00:00:00"/>
    <s v="Rabu"/>
    <x v="2"/>
    <s v="Q1"/>
    <n v="2024"/>
    <s v="Malam (20-22)"/>
    <s v="Gula Pasir 1kg"/>
    <x v="4"/>
    <n v="16000"/>
    <n v="8"/>
    <n v="0"/>
    <n v="128000"/>
    <n v="84256"/>
    <n v="43744"/>
    <n v="34.17"/>
    <x v="1"/>
    <s v="Rina"/>
    <x v="1"/>
    <x v="1"/>
    <n v="5"/>
  </r>
  <r>
    <x v="219"/>
    <d v="2023-04-08T00:00:00"/>
    <s v="Sabtu"/>
    <x v="1"/>
    <s v="Q2"/>
    <n v="2023"/>
    <s v="Pagi (08-12)"/>
    <s v="Pelembab Vaseline"/>
    <x v="3"/>
    <n v="25000"/>
    <n v="4"/>
    <n v="0"/>
    <n v="100000"/>
    <n v="70322"/>
    <n v="29678"/>
    <n v="29.68"/>
    <x v="3"/>
    <s v="Agus"/>
    <x v="2"/>
    <x v="0"/>
    <n v="3"/>
  </r>
  <r>
    <x v="220"/>
    <d v="2024-07-10T00:00:00"/>
    <s v="Rabu"/>
    <x v="4"/>
    <s v="Q3"/>
    <n v="2024"/>
    <s v="Malam (20-22)"/>
    <s v="Pelembab Vaseline"/>
    <x v="3"/>
    <n v="25000"/>
    <n v="3"/>
    <n v="20"/>
    <n v="60000"/>
    <n v="36208"/>
    <n v="23792"/>
    <n v="39.65"/>
    <x v="1"/>
    <s v="Dewi"/>
    <x v="3"/>
    <x v="0"/>
    <n v="3"/>
  </r>
  <r>
    <x v="221"/>
    <d v="2023-06-16T00:00:00"/>
    <s v="Jumat"/>
    <x v="7"/>
    <s v="Q2"/>
    <n v="2023"/>
    <s v="Siang (12-16)"/>
    <s v="Deodorant Rexona"/>
    <x v="3"/>
    <n v="20000"/>
    <n v="10"/>
    <n v="20"/>
    <n v="160000"/>
    <n v="111105"/>
    <n v="48895"/>
    <n v="30.56"/>
    <x v="3"/>
    <s v="Siti"/>
    <x v="1"/>
    <x v="0"/>
    <n v="5"/>
  </r>
  <r>
    <x v="222"/>
    <d v="2023-12-21T00:00:00"/>
    <s v="Kamis"/>
    <x v="8"/>
    <s v="Q4"/>
    <n v="2023"/>
    <s v="Malam (20-22)"/>
    <s v="Aqua 1.5L"/>
    <x v="0"/>
    <n v="5000"/>
    <n v="7"/>
    <n v="0"/>
    <n v="35000"/>
    <n v="24240"/>
    <n v="10760"/>
    <n v="30.74"/>
    <x v="4"/>
    <s v="Dewi"/>
    <x v="4"/>
    <x v="1"/>
    <n v="1"/>
  </r>
  <r>
    <x v="223"/>
    <d v="2024-10-11T00:00:00"/>
    <s v="Jumat"/>
    <x v="0"/>
    <s v="Q4"/>
    <n v="2024"/>
    <s v="Malam (20-22)"/>
    <s v="Deterjen Rinso"/>
    <x v="2"/>
    <n v="22000"/>
    <n v="8"/>
    <n v="0"/>
    <n v="176000"/>
    <n v="107446"/>
    <n v="68554"/>
    <n v="38.950000000000003"/>
    <x v="2"/>
    <s v="Agus"/>
    <x v="3"/>
    <x v="0"/>
    <n v="5"/>
  </r>
  <r>
    <x v="224"/>
    <d v="2023-10-30T00:00:00"/>
    <s v="Senin"/>
    <x v="0"/>
    <s v="Q4"/>
    <n v="2023"/>
    <s v="Sore (16-20)"/>
    <s v="Chitato"/>
    <x v="1"/>
    <n v="12000"/>
    <n v="2"/>
    <n v="0"/>
    <n v="24000"/>
    <n v="13829"/>
    <n v="10171"/>
    <n v="42.38"/>
    <x v="1"/>
    <s v="Agus"/>
    <x v="2"/>
    <x v="0"/>
    <n v="1"/>
  </r>
  <r>
    <x v="225"/>
    <d v="2023-01-06T00:00:00"/>
    <s v="Jumat"/>
    <x v="2"/>
    <s v="Q1"/>
    <n v="2023"/>
    <s v="Malam (20-22)"/>
    <s v="Deterjen Rinso"/>
    <x v="2"/>
    <n v="22000"/>
    <n v="6"/>
    <n v="20"/>
    <n v="105600"/>
    <n v="62923"/>
    <n v="42677"/>
    <n v="40.409999999999997"/>
    <x v="1"/>
    <s v="Rina"/>
    <x v="3"/>
    <x v="1"/>
    <n v="5"/>
  </r>
  <r>
    <x v="226"/>
    <d v="2024-07-22T00:00:00"/>
    <s v="Senin"/>
    <x v="4"/>
    <s v="Q3"/>
    <n v="2024"/>
    <s v="Sore (16-20)"/>
    <s v="Hand Sanitizer"/>
    <x v="3"/>
    <n v="12000"/>
    <n v="2"/>
    <n v="0"/>
    <n v="24000"/>
    <n v="13566"/>
    <n v="10434"/>
    <n v="43.48"/>
    <x v="3"/>
    <s v="Rina"/>
    <x v="4"/>
    <x v="1"/>
    <n v="1"/>
  </r>
  <r>
    <x v="227"/>
    <d v="2023-10-26T00:00:00"/>
    <s v="Kamis"/>
    <x v="0"/>
    <s v="Q4"/>
    <n v="2023"/>
    <s v="Siang (12-16)"/>
    <s v="Sania Minyak Goreng"/>
    <x v="4"/>
    <n v="28000"/>
    <n v="2"/>
    <n v="15"/>
    <n v="47600"/>
    <n v="33472"/>
    <n v="14128"/>
    <n v="29.68"/>
    <x v="1"/>
    <s v="Dewi"/>
    <x v="4"/>
    <x v="1"/>
    <n v="2"/>
  </r>
  <r>
    <x v="228"/>
    <d v="2023-05-23T00:00:00"/>
    <s v="Selasa"/>
    <x v="11"/>
    <s v="Q2"/>
    <n v="2023"/>
    <s v="Malam (20-22)"/>
    <s v="Pasta Gigi Pepsodent"/>
    <x v="2"/>
    <n v="12000"/>
    <n v="5"/>
    <n v="5"/>
    <n v="57000"/>
    <n v="32764"/>
    <n v="24236"/>
    <n v="42.52"/>
    <x v="1"/>
    <s v="Agus"/>
    <x v="2"/>
    <x v="1"/>
    <n v="4"/>
  </r>
  <r>
    <x v="229"/>
    <d v="2023-03-20T00:00:00"/>
    <s v="Senin"/>
    <x v="3"/>
    <s v="Q1"/>
    <n v="2023"/>
    <s v="Malam (20-22)"/>
    <s v="Pasta Gigi Pepsodent"/>
    <x v="2"/>
    <n v="12000"/>
    <n v="4"/>
    <n v="15"/>
    <n v="40800"/>
    <n v="26775"/>
    <n v="14025"/>
    <n v="34.380000000000003"/>
    <x v="3"/>
    <s v="Dewi"/>
    <x v="3"/>
    <x v="0"/>
    <n v="2"/>
  </r>
  <r>
    <x v="230"/>
    <d v="2023-11-08T00:00:00"/>
    <s v="Rabu"/>
    <x v="10"/>
    <s v="Q4"/>
    <n v="2023"/>
    <s v="Malam (20-22)"/>
    <s v="Kopi Kapal Api"/>
    <x v="0"/>
    <n v="12000"/>
    <n v="6"/>
    <n v="20"/>
    <n v="57600"/>
    <n v="37753"/>
    <n v="19847"/>
    <n v="34.46"/>
    <x v="4"/>
    <s v="Agus"/>
    <x v="2"/>
    <x v="0"/>
    <n v="3"/>
  </r>
  <r>
    <x v="231"/>
    <d v="2023-11-25T00:00:00"/>
    <s v="Sabtu"/>
    <x v="10"/>
    <s v="Q4"/>
    <n v="2023"/>
    <s v="Malam (20-22)"/>
    <s v="Deodorant Rexona"/>
    <x v="3"/>
    <n v="20000"/>
    <n v="8"/>
    <n v="0"/>
    <n v="160000"/>
    <n v="92832"/>
    <n v="67168"/>
    <n v="41.98"/>
    <x v="2"/>
    <s v="Siti"/>
    <x v="2"/>
    <x v="0"/>
    <n v="3"/>
  </r>
  <r>
    <x v="232"/>
    <d v="2024-01-21T00:00:00"/>
    <s v="Minggu"/>
    <x v="2"/>
    <s v="Q1"/>
    <n v="2024"/>
    <s v="Siang (12-16)"/>
    <s v="Deterjen Rinso"/>
    <x v="2"/>
    <n v="22000"/>
    <n v="6"/>
    <n v="0"/>
    <n v="132000"/>
    <n v="93516"/>
    <n v="38484"/>
    <n v="29.15"/>
    <x v="1"/>
    <s v="Dewi"/>
    <x v="4"/>
    <x v="0"/>
    <n v="4"/>
  </r>
  <r>
    <x v="233"/>
    <d v="2024-12-26T00:00:00"/>
    <s v="Kamis"/>
    <x v="8"/>
    <s v="Q4"/>
    <n v="2024"/>
    <s v="Sore (16-20)"/>
    <s v="Indomie Goreng"/>
    <x v="1"/>
    <n v="3500"/>
    <n v="5"/>
    <n v="20"/>
    <n v="14000"/>
    <n v="9349"/>
    <n v="4651"/>
    <n v="33.22"/>
    <x v="2"/>
    <s v="Agus"/>
    <x v="3"/>
    <x v="0"/>
    <n v="3"/>
  </r>
  <r>
    <x v="234"/>
    <d v="2024-11-05T00:00:00"/>
    <s v="Selasa"/>
    <x v="10"/>
    <s v="Q4"/>
    <n v="2024"/>
    <s v="Malam (20-22)"/>
    <s v="Indomie Goreng"/>
    <x v="1"/>
    <n v="3500"/>
    <n v="7"/>
    <n v="0"/>
    <n v="24500"/>
    <n v="15345"/>
    <n v="9155"/>
    <n v="37.369999999999997"/>
    <x v="3"/>
    <s v="Agus"/>
    <x v="4"/>
    <x v="1"/>
    <n v="5"/>
  </r>
  <r>
    <x v="235"/>
    <d v="2023-02-07T00:00:00"/>
    <s v="Selasa"/>
    <x v="5"/>
    <s v="Q1"/>
    <n v="2023"/>
    <s v="Siang (12-16)"/>
    <s v="Softex"/>
    <x v="2"/>
    <n v="18000"/>
    <n v="10"/>
    <n v="15"/>
    <n v="153000"/>
    <n v="107934"/>
    <n v="45066"/>
    <n v="29.45"/>
    <x v="0"/>
    <s v="Budi"/>
    <x v="2"/>
    <x v="0"/>
    <n v="5"/>
  </r>
  <r>
    <x v="236"/>
    <d v="2024-10-22T00:00:00"/>
    <s v="Selasa"/>
    <x v="0"/>
    <s v="Q4"/>
    <n v="2024"/>
    <s v="Siang (12-16)"/>
    <s v="Royco Ayam"/>
    <x v="4"/>
    <n v="5000"/>
    <n v="7"/>
    <n v="0"/>
    <n v="35000"/>
    <n v="19313"/>
    <n v="15687"/>
    <n v="44.82"/>
    <x v="4"/>
    <s v="Budi"/>
    <x v="4"/>
    <x v="1"/>
    <n v="3"/>
  </r>
  <r>
    <x v="237"/>
    <d v="2024-02-05T00:00:00"/>
    <s v="Senin"/>
    <x v="5"/>
    <s v="Q1"/>
    <n v="2024"/>
    <s v="Sore (16-20)"/>
    <s v="Gula Pasir 1kg"/>
    <x v="4"/>
    <n v="16000"/>
    <n v="9"/>
    <n v="0"/>
    <n v="144000"/>
    <n v="87645"/>
    <n v="56355"/>
    <n v="39.14"/>
    <x v="0"/>
    <s v="Agus"/>
    <x v="0"/>
    <x v="1"/>
    <n v="1"/>
  </r>
  <r>
    <x v="238"/>
    <d v="2023-04-29T00:00:00"/>
    <s v="Sabtu"/>
    <x v="1"/>
    <s v="Q2"/>
    <n v="2023"/>
    <s v="Sore (16-20)"/>
    <s v="Qtela"/>
    <x v="1"/>
    <n v="14000"/>
    <n v="5"/>
    <n v="0"/>
    <n v="70000"/>
    <n v="43918"/>
    <n v="26082"/>
    <n v="37.26"/>
    <x v="1"/>
    <s v="Dewi"/>
    <x v="1"/>
    <x v="1"/>
    <n v="1"/>
  </r>
  <r>
    <x v="239"/>
    <d v="2024-03-24T00:00:00"/>
    <s v="Minggu"/>
    <x v="3"/>
    <s v="Q1"/>
    <n v="2024"/>
    <s v="Pagi (08-12)"/>
    <s v="Royco Ayam"/>
    <x v="4"/>
    <n v="5000"/>
    <n v="2"/>
    <n v="0"/>
    <n v="10000"/>
    <n v="5576"/>
    <n v="4424"/>
    <n v="44.24"/>
    <x v="0"/>
    <s v="Rina"/>
    <x v="2"/>
    <x v="0"/>
    <n v="2"/>
  </r>
  <r>
    <x v="240"/>
    <d v="2024-06-12T00:00:00"/>
    <s v="Rabu"/>
    <x v="7"/>
    <s v="Q2"/>
    <n v="2024"/>
    <s v="Siang (12-16)"/>
    <s v="Cheetos"/>
    <x v="1"/>
    <n v="11000"/>
    <n v="3"/>
    <n v="0"/>
    <n v="33000"/>
    <n v="21291"/>
    <n v="11709"/>
    <n v="35.479999999999997"/>
    <x v="2"/>
    <s v="Budi"/>
    <x v="1"/>
    <x v="0"/>
    <n v="4"/>
  </r>
  <r>
    <x v="241"/>
    <d v="2024-02-10T00:00:00"/>
    <s v="Sabtu"/>
    <x v="5"/>
    <s v="Q1"/>
    <n v="2024"/>
    <s v="Siang (12-16)"/>
    <s v="Susu Ultra"/>
    <x v="0"/>
    <n v="9000"/>
    <n v="4"/>
    <n v="5"/>
    <n v="34200"/>
    <n v="22253"/>
    <n v="11947"/>
    <n v="34.93"/>
    <x v="2"/>
    <s v="Rina"/>
    <x v="3"/>
    <x v="1"/>
    <n v="1"/>
  </r>
  <r>
    <x v="242"/>
    <d v="2024-08-14T00:00:00"/>
    <s v="Rabu"/>
    <x v="9"/>
    <s v="Q3"/>
    <n v="2024"/>
    <s v="Malam (20-22)"/>
    <s v="Susu Ultra"/>
    <x v="0"/>
    <n v="9000"/>
    <n v="3"/>
    <n v="0"/>
    <n v="27000"/>
    <n v="16346"/>
    <n v="10654"/>
    <n v="39.46"/>
    <x v="2"/>
    <s v="Rina"/>
    <x v="2"/>
    <x v="1"/>
    <n v="5"/>
  </r>
  <r>
    <x v="243"/>
    <d v="2024-02-02T00:00:00"/>
    <s v="Jumat"/>
    <x v="5"/>
    <s v="Q1"/>
    <n v="2024"/>
    <s v="Sore (16-20)"/>
    <s v="Hand Sanitizer"/>
    <x v="3"/>
    <n v="12000"/>
    <n v="10"/>
    <n v="0"/>
    <n v="120000"/>
    <n v="73098"/>
    <n v="46902"/>
    <n v="39.090000000000003"/>
    <x v="2"/>
    <s v="Dewi"/>
    <x v="3"/>
    <x v="0"/>
    <n v="2"/>
  </r>
  <r>
    <x v="244"/>
    <d v="2023-11-17T00:00:00"/>
    <s v="Jumat"/>
    <x v="10"/>
    <s v="Q4"/>
    <n v="2023"/>
    <s v="Malam (20-22)"/>
    <s v="Teh Botol"/>
    <x v="0"/>
    <n v="6000"/>
    <n v="5"/>
    <n v="0"/>
    <n v="30000"/>
    <n v="17434"/>
    <n v="12566"/>
    <n v="41.89"/>
    <x v="1"/>
    <s v="Dewi"/>
    <x v="1"/>
    <x v="0"/>
    <n v="5"/>
  </r>
  <r>
    <x v="245"/>
    <d v="2024-01-28T00:00:00"/>
    <s v="Minggu"/>
    <x v="2"/>
    <s v="Q1"/>
    <n v="2024"/>
    <s v="Malam (20-22)"/>
    <s v="Saos Sambal"/>
    <x v="4"/>
    <n v="10000"/>
    <n v="8"/>
    <n v="15"/>
    <n v="68000"/>
    <n v="43612"/>
    <n v="24388"/>
    <n v="35.86"/>
    <x v="1"/>
    <s v="Dewi"/>
    <x v="3"/>
    <x v="1"/>
    <n v="2"/>
  </r>
  <r>
    <x v="246"/>
    <d v="2023-07-11T00:00:00"/>
    <s v="Selasa"/>
    <x v="4"/>
    <s v="Q3"/>
    <n v="2023"/>
    <s v="Siang (12-16)"/>
    <s v="Deterjen Rinso"/>
    <x v="2"/>
    <n v="22000"/>
    <n v="10"/>
    <n v="0"/>
    <n v="220000"/>
    <n v="153371"/>
    <n v="66629"/>
    <n v="30.29"/>
    <x v="0"/>
    <s v="Agus"/>
    <x v="3"/>
    <x v="1"/>
    <n v="5"/>
  </r>
  <r>
    <x v="247"/>
    <d v="2024-06-01T00:00:00"/>
    <s v="Sabtu"/>
    <x v="7"/>
    <s v="Q2"/>
    <n v="2024"/>
    <s v="Pagi (08-12)"/>
    <s v="Sania Minyak Goreng"/>
    <x v="4"/>
    <n v="28000"/>
    <n v="8"/>
    <n v="5"/>
    <n v="212800"/>
    <n v="142730"/>
    <n v="70070"/>
    <n v="32.93"/>
    <x v="2"/>
    <s v="Agus"/>
    <x v="3"/>
    <x v="0"/>
    <n v="2"/>
  </r>
  <r>
    <x v="248"/>
    <d v="2023-10-27T00:00:00"/>
    <s v="Jumat"/>
    <x v="0"/>
    <s v="Q4"/>
    <n v="2023"/>
    <s v="Pagi (08-12)"/>
    <s v="Pocari Sweat"/>
    <x v="0"/>
    <n v="8000"/>
    <n v="4"/>
    <n v="10"/>
    <n v="28800"/>
    <n v="17253"/>
    <n v="11547"/>
    <n v="40.090000000000003"/>
    <x v="2"/>
    <s v="Dewi"/>
    <x v="1"/>
    <x v="0"/>
    <n v="3"/>
  </r>
  <r>
    <x v="249"/>
    <d v="2024-07-10T00:00:00"/>
    <s v="Rabu"/>
    <x v="4"/>
    <s v="Q3"/>
    <n v="2024"/>
    <s v="Pagi (08-12)"/>
    <s v="Softex"/>
    <x v="2"/>
    <n v="18000"/>
    <n v="1"/>
    <n v="20"/>
    <n v="14400"/>
    <n v="9680"/>
    <n v="4720"/>
    <n v="32.78"/>
    <x v="3"/>
    <s v="Budi"/>
    <x v="1"/>
    <x v="0"/>
    <n v="3"/>
  </r>
  <r>
    <x v="250"/>
    <d v="2023-02-03T00:00:00"/>
    <s v="Jumat"/>
    <x v="5"/>
    <s v="Q1"/>
    <n v="2023"/>
    <s v="Siang (12-16)"/>
    <s v="Royco Ayam"/>
    <x v="4"/>
    <n v="5000"/>
    <n v="6"/>
    <n v="20"/>
    <n v="24000"/>
    <n v="16532"/>
    <n v="7468"/>
    <n v="31.12"/>
    <x v="2"/>
    <s v="Rina"/>
    <x v="3"/>
    <x v="1"/>
    <n v="5"/>
  </r>
  <r>
    <x v="251"/>
    <d v="2024-10-09T00:00:00"/>
    <s v="Rabu"/>
    <x v="0"/>
    <s v="Q4"/>
    <n v="2024"/>
    <s v="Sore (16-20)"/>
    <s v="Saos Sambal"/>
    <x v="4"/>
    <n v="10000"/>
    <n v="10"/>
    <n v="0"/>
    <n v="100000"/>
    <n v="68342"/>
    <n v="31658"/>
    <n v="31.66"/>
    <x v="1"/>
    <s v="Rina"/>
    <x v="4"/>
    <x v="1"/>
    <n v="5"/>
  </r>
  <r>
    <x v="252"/>
    <d v="2024-07-05T00:00:00"/>
    <s v="Jumat"/>
    <x v="4"/>
    <s v="Q3"/>
    <n v="2024"/>
    <s v="Malam (20-22)"/>
    <s v="Qtela"/>
    <x v="1"/>
    <n v="14000"/>
    <n v="5"/>
    <n v="0"/>
    <n v="70000"/>
    <n v="45316"/>
    <n v="24684"/>
    <n v="35.26"/>
    <x v="3"/>
    <s v="Rina"/>
    <x v="3"/>
    <x v="0"/>
    <n v="3"/>
  </r>
  <r>
    <x v="253"/>
    <d v="2024-11-02T00:00:00"/>
    <s v="Sabtu"/>
    <x v="10"/>
    <s v="Q4"/>
    <n v="2024"/>
    <s v="Siang (12-16)"/>
    <s v="Oreo"/>
    <x v="1"/>
    <n v="10000"/>
    <n v="4"/>
    <n v="0"/>
    <n v="40000"/>
    <n v="26837"/>
    <n v="13163"/>
    <n v="32.909999999999997"/>
    <x v="1"/>
    <s v="Agus"/>
    <x v="1"/>
    <x v="1"/>
    <n v="4"/>
  </r>
  <r>
    <x v="254"/>
    <d v="2024-01-20T00:00:00"/>
    <s v="Sabtu"/>
    <x v="2"/>
    <s v="Q1"/>
    <n v="2024"/>
    <s v="Malam (20-22)"/>
    <s v="Kecap ABC"/>
    <x v="4"/>
    <n v="14000"/>
    <n v="2"/>
    <n v="5"/>
    <n v="26600"/>
    <n v="16962"/>
    <n v="9638"/>
    <n v="36.229999999999997"/>
    <x v="4"/>
    <s v="Siti"/>
    <x v="1"/>
    <x v="1"/>
    <n v="5"/>
  </r>
  <r>
    <x v="255"/>
    <d v="2023-01-03T00:00:00"/>
    <s v="Selasa"/>
    <x v="2"/>
    <s v="Q1"/>
    <n v="2023"/>
    <s v="Malam (20-22)"/>
    <s v="Kopi Kapal Api"/>
    <x v="0"/>
    <n v="12000"/>
    <n v="6"/>
    <n v="20"/>
    <n v="57600"/>
    <n v="32300"/>
    <n v="25300"/>
    <n v="43.92"/>
    <x v="3"/>
    <s v="Agus"/>
    <x v="3"/>
    <x v="0"/>
    <n v="4"/>
  </r>
  <r>
    <x v="256"/>
    <d v="2023-10-02T00:00:00"/>
    <s v="Senin"/>
    <x v="0"/>
    <s v="Q4"/>
    <n v="2023"/>
    <s v="Pagi (08-12)"/>
    <s v="Pasta Gigi Pepsodent"/>
    <x v="2"/>
    <n v="12000"/>
    <n v="6"/>
    <n v="10"/>
    <n v="64800"/>
    <n v="42007"/>
    <n v="22793"/>
    <n v="35.17"/>
    <x v="3"/>
    <s v="Agus"/>
    <x v="2"/>
    <x v="0"/>
    <n v="1"/>
  </r>
  <r>
    <x v="257"/>
    <d v="2024-10-03T00:00:00"/>
    <s v="Kamis"/>
    <x v="0"/>
    <s v="Q4"/>
    <n v="2024"/>
    <s v="Siang (12-16)"/>
    <s v="Kecap ABC"/>
    <x v="4"/>
    <n v="14000"/>
    <n v="2"/>
    <n v="20"/>
    <n v="22400"/>
    <n v="12922"/>
    <n v="9478"/>
    <n v="42.31"/>
    <x v="2"/>
    <s v="Rina"/>
    <x v="1"/>
    <x v="0"/>
    <n v="3"/>
  </r>
  <r>
    <x v="258"/>
    <d v="2023-06-12T00:00:00"/>
    <s v="Senin"/>
    <x v="7"/>
    <s v="Q2"/>
    <n v="2023"/>
    <s v="Sore (16-20)"/>
    <s v="Sabun Lifebuoy"/>
    <x v="2"/>
    <n v="8000"/>
    <n v="6"/>
    <n v="0"/>
    <n v="48000"/>
    <n v="27073"/>
    <n v="20927"/>
    <n v="43.6"/>
    <x v="1"/>
    <s v="Rina"/>
    <x v="1"/>
    <x v="0"/>
    <n v="4"/>
  </r>
  <r>
    <x v="259"/>
    <d v="2024-11-02T00:00:00"/>
    <s v="Sabtu"/>
    <x v="10"/>
    <s v="Q4"/>
    <n v="2024"/>
    <s v="Malam (20-22)"/>
    <s v="Aqua 1.5L"/>
    <x v="0"/>
    <n v="5000"/>
    <n v="1"/>
    <n v="0"/>
    <n v="5000"/>
    <n v="3155"/>
    <n v="1845"/>
    <n v="36.9"/>
    <x v="1"/>
    <s v="Dewi"/>
    <x v="3"/>
    <x v="0"/>
    <n v="1"/>
  </r>
  <r>
    <x v="260"/>
    <d v="2024-12-13T00:00:00"/>
    <s v="Jumat"/>
    <x v="8"/>
    <s v="Q4"/>
    <n v="2024"/>
    <s v="Pagi (08-12)"/>
    <s v="Sabun Lifebuoy"/>
    <x v="2"/>
    <n v="8000"/>
    <n v="7"/>
    <n v="15"/>
    <n v="47600"/>
    <n v="27250"/>
    <n v="20350"/>
    <n v="42.75"/>
    <x v="0"/>
    <s v="Budi"/>
    <x v="1"/>
    <x v="0"/>
    <n v="1"/>
  </r>
  <r>
    <x v="261"/>
    <d v="2023-11-17T00:00:00"/>
    <s v="Jumat"/>
    <x v="10"/>
    <s v="Q4"/>
    <n v="2023"/>
    <s v="Pagi (08-12)"/>
    <s v="Pasta Gigi Pepsodent"/>
    <x v="2"/>
    <n v="12000"/>
    <n v="3"/>
    <n v="5"/>
    <n v="34200"/>
    <n v="23307"/>
    <n v="10893"/>
    <n v="31.85"/>
    <x v="1"/>
    <s v="Budi"/>
    <x v="0"/>
    <x v="0"/>
    <n v="4"/>
  </r>
  <r>
    <x v="262"/>
    <d v="2023-12-26T00:00:00"/>
    <s v="Selasa"/>
    <x v="8"/>
    <s v="Q4"/>
    <n v="2023"/>
    <s v="Siang (12-16)"/>
    <s v="Oreo"/>
    <x v="1"/>
    <n v="10000"/>
    <n v="7"/>
    <n v="10"/>
    <n v="63000"/>
    <n v="42003"/>
    <n v="20997"/>
    <n v="33.33"/>
    <x v="1"/>
    <s v="Rina"/>
    <x v="0"/>
    <x v="0"/>
    <n v="5"/>
  </r>
  <r>
    <x v="263"/>
    <d v="2024-01-29T00:00:00"/>
    <s v="Senin"/>
    <x v="2"/>
    <s v="Q1"/>
    <n v="2024"/>
    <s v="Sore (16-20)"/>
    <s v="Deterjen Rinso"/>
    <x v="2"/>
    <n v="22000"/>
    <n v="6"/>
    <n v="20"/>
    <n v="105600"/>
    <n v="60590"/>
    <n v="45010"/>
    <n v="42.62"/>
    <x v="4"/>
    <s v="Rina"/>
    <x v="3"/>
    <x v="0"/>
    <n v="3"/>
  </r>
  <r>
    <x v="264"/>
    <d v="2023-07-30T00:00:00"/>
    <s v="Minggu"/>
    <x v="4"/>
    <s v="Q3"/>
    <n v="2023"/>
    <s v="Malam (20-22)"/>
    <s v="Kapas Kecantikan"/>
    <x v="3"/>
    <n v="8000"/>
    <n v="9"/>
    <n v="0"/>
    <n v="72000"/>
    <n v="48754"/>
    <n v="23246"/>
    <n v="32.29"/>
    <x v="4"/>
    <s v="Rina"/>
    <x v="3"/>
    <x v="1"/>
    <n v="1"/>
  </r>
  <r>
    <x v="265"/>
    <d v="2023-09-04T00:00:00"/>
    <s v="Senin"/>
    <x v="6"/>
    <s v="Q3"/>
    <n v="2023"/>
    <s v="Siang (12-16)"/>
    <s v="Gula Pasir 1kg"/>
    <x v="4"/>
    <n v="16000"/>
    <n v="2"/>
    <n v="10"/>
    <n v="28800"/>
    <n v="20191"/>
    <n v="8609"/>
    <n v="29.89"/>
    <x v="0"/>
    <s v="Siti"/>
    <x v="2"/>
    <x v="1"/>
    <n v="5"/>
  </r>
  <r>
    <x v="266"/>
    <d v="2024-03-06T00:00:00"/>
    <s v="Rabu"/>
    <x v="3"/>
    <s v="Q1"/>
    <n v="2024"/>
    <s v="Pagi (08-12)"/>
    <s v="Softex"/>
    <x v="2"/>
    <n v="18000"/>
    <n v="3"/>
    <n v="20"/>
    <n v="43200"/>
    <n v="27219"/>
    <n v="15981"/>
    <n v="36.99"/>
    <x v="0"/>
    <s v="Rina"/>
    <x v="4"/>
    <x v="0"/>
    <n v="3"/>
  </r>
  <r>
    <x v="267"/>
    <d v="2023-08-09T00:00:00"/>
    <s v="Rabu"/>
    <x v="9"/>
    <s v="Q3"/>
    <n v="2023"/>
    <s v="Malam (20-22)"/>
    <s v="Aqua 1.5L"/>
    <x v="0"/>
    <n v="5000"/>
    <n v="7"/>
    <n v="10"/>
    <n v="31500"/>
    <n v="18859"/>
    <n v="12641"/>
    <n v="40.130000000000003"/>
    <x v="3"/>
    <s v="Agus"/>
    <x v="1"/>
    <x v="0"/>
    <n v="5"/>
  </r>
  <r>
    <x v="268"/>
    <d v="2024-07-04T00:00:00"/>
    <s v="Kamis"/>
    <x v="4"/>
    <s v="Q3"/>
    <n v="2024"/>
    <s v="Sore (16-20)"/>
    <s v="Deodorant Rexona"/>
    <x v="3"/>
    <n v="20000"/>
    <n v="5"/>
    <n v="0"/>
    <n v="100000"/>
    <n v="60268"/>
    <n v="39732"/>
    <n v="39.729999999999997"/>
    <x v="3"/>
    <s v="Budi"/>
    <x v="3"/>
    <x v="1"/>
    <n v="5"/>
  </r>
  <r>
    <x v="269"/>
    <d v="2024-10-11T00:00:00"/>
    <s v="Jumat"/>
    <x v="0"/>
    <s v="Q4"/>
    <n v="2024"/>
    <s v="Pagi (08-12)"/>
    <s v="Pocari Sweat"/>
    <x v="0"/>
    <n v="8000"/>
    <n v="7"/>
    <n v="15"/>
    <n v="47600"/>
    <n v="33895"/>
    <n v="13705"/>
    <n v="28.79"/>
    <x v="1"/>
    <s v="Rina"/>
    <x v="3"/>
    <x v="1"/>
    <n v="1"/>
  </r>
  <r>
    <x v="270"/>
    <d v="2024-04-09T00:00:00"/>
    <s v="Selasa"/>
    <x v="1"/>
    <s v="Q2"/>
    <n v="2024"/>
    <s v="Siang (12-16)"/>
    <s v="Kapas Kecantikan"/>
    <x v="3"/>
    <n v="8000"/>
    <n v="1"/>
    <n v="0"/>
    <n v="8000"/>
    <n v="5306"/>
    <n v="2694"/>
    <n v="33.67"/>
    <x v="1"/>
    <s v="Rina"/>
    <x v="0"/>
    <x v="0"/>
    <n v="2"/>
  </r>
  <r>
    <x v="271"/>
    <d v="2024-05-23T00:00:00"/>
    <s v="Kamis"/>
    <x v="11"/>
    <s v="Q2"/>
    <n v="2024"/>
    <s v="Siang (12-16)"/>
    <s v="Softex"/>
    <x v="2"/>
    <n v="18000"/>
    <n v="9"/>
    <n v="20"/>
    <n v="129600"/>
    <n v="89401"/>
    <n v="40199"/>
    <n v="31.02"/>
    <x v="4"/>
    <s v="Budi"/>
    <x v="2"/>
    <x v="1"/>
    <n v="1"/>
  </r>
  <r>
    <x v="272"/>
    <d v="2023-01-31T00:00:00"/>
    <s v="Selasa"/>
    <x v="2"/>
    <s v="Q1"/>
    <n v="2023"/>
    <s v="Malam (20-22)"/>
    <s v="Deterjen Rinso"/>
    <x v="2"/>
    <n v="22000"/>
    <n v="5"/>
    <n v="10"/>
    <n v="99000"/>
    <n v="55525"/>
    <n v="43475"/>
    <n v="43.91"/>
    <x v="3"/>
    <s v="Rina"/>
    <x v="1"/>
    <x v="1"/>
    <n v="1"/>
  </r>
  <r>
    <x v="273"/>
    <d v="2024-05-26T00:00:00"/>
    <s v="Minggu"/>
    <x v="11"/>
    <s v="Q2"/>
    <n v="2024"/>
    <s v="Siang (12-16)"/>
    <s v="Deodorant Rexona"/>
    <x v="3"/>
    <n v="20000"/>
    <n v="6"/>
    <n v="0"/>
    <n v="120000"/>
    <n v="71204"/>
    <n v="48796"/>
    <n v="40.659999999999997"/>
    <x v="0"/>
    <s v="Dewi"/>
    <x v="0"/>
    <x v="0"/>
    <n v="1"/>
  </r>
  <r>
    <x v="274"/>
    <d v="2023-01-13T00:00:00"/>
    <s v="Jumat"/>
    <x v="2"/>
    <s v="Q1"/>
    <n v="2023"/>
    <s v="Malam (20-22)"/>
    <s v="Chitato"/>
    <x v="1"/>
    <n v="12000"/>
    <n v="8"/>
    <n v="0"/>
    <n v="96000"/>
    <n v="59050"/>
    <n v="36950"/>
    <n v="38.49"/>
    <x v="1"/>
    <s v="Budi"/>
    <x v="0"/>
    <x v="0"/>
    <n v="3"/>
  </r>
  <r>
    <x v="275"/>
    <d v="2023-09-12T00:00:00"/>
    <s v="Selasa"/>
    <x v="6"/>
    <s v="Q3"/>
    <n v="2023"/>
    <s v="Pagi (08-12)"/>
    <s v="Royco Ayam"/>
    <x v="4"/>
    <n v="5000"/>
    <n v="5"/>
    <n v="20"/>
    <n v="20000"/>
    <n v="11265"/>
    <n v="8735"/>
    <n v="43.68"/>
    <x v="4"/>
    <s v="Rina"/>
    <x v="4"/>
    <x v="0"/>
    <n v="2"/>
  </r>
  <r>
    <x v="276"/>
    <d v="2024-06-12T00:00:00"/>
    <s v="Rabu"/>
    <x v="7"/>
    <s v="Q2"/>
    <n v="2024"/>
    <s v="Malam (20-22)"/>
    <s v="Kopi Kapal Api"/>
    <x v="0"/>
    <n v="12000"/>
    <n v="2"/>
    <n v="5"/>
    <n v="22800"/>
    <n v="15897"/>
    <n v="6903"/>
    <n v="30.28"/>
    <x v="4"/>
    <s v="Siti"/>
    <x v="0"/>
    <x v="0"/>
    <n v="3"/>
  </r>
  <r>
    <x v="277"/>
    <d v="2023-07-25T00:00:00"/>
    <s v="Selasa"/>
    <x v="4"/>
    <s v="Q3"/>
    <n v="2023"/>
    <s v="Malam (20-22)"/>
    <s v="Softex"/>
    <x v="2"/>
    <n v="18000"/>
    <n v="5"/>
    <n v="15"/>
    <n v="76500"/>
    <n v="50173"/>
    <n v="26327"/>
    <n v="34.409999999999997"/>
    <x v="2"/>
    <s v="Siti"/>
    <x v="4"/>
    <x v="0"/>
    <n v="5"/>
  </r>
  <r>
    <x v="278"/>
    <d v="2023-09-09T00:00:00"/>
    <s v="Sabtu"/>
    <x v="6"/>
    <s v="Q3"/>
    <n v="2023"/>
    <s v="Pagi (08-12)"/>
    <s v="Chitato"/>
    <x v="1"/>
    <n v="12000"/>
    <n v="7"/>
    <n v="0"/>
    <n v="84000"/>
    <n v="49527"/>
    <n v="34473"/>
    <n v="41.04"/>
    <x v="4"/>
    <s v="Rina"/>
    <x v="2"/>
    <x v="1"/>
    <n v="3"/>
  </r>
  <r>
    <x v="279"/>
    <d v="2023-04-17T00:00:00"/>
    <s v="Senin"/>
    <x v="1"/>
    <s v="Q2"/>
    <n v="2023"/>
    <s v="Pagi (08-12)"/>
    <s v="Cheetos"/>
    <x v="1"/>
    <n v="11000"/>
    <n v="4"/>
    <n v="5"/>
    <n v="41800"/>
    <n v="26486"/>
    <n v="15314"/>
    <n v="36.64"/>
    <x v="0"/>
    <s v="Budi"/>
    <x v="2"/>
    <x v="0"/>
    <n v="2"/>
  </r>
  <r>
    <x v="280"/>
    <d v="2024-06-16T00:00:00"/>
    <s v="Minggu"/>
    <x v="7"/>
    <s v="Q2"/>
    <n v="2024"/>
    <s v="Malam (20-22)"/>
    <s v="Royco Ayam"/>
    <x v="4"/>
    <n v="5000"/>
    <n v="8"/>
    <n v="15"/>
    <n v="34000"/>
    <n v="19191"/>
    <n v="14809"/>
    <n v="43.56"/>
    <x v="0"/>
    <s v="Dewi"/>
    <x v="3"/>
    <x v="0"/>
    <n v="5"/>
  </r>
  <r>
    <x v="281"/>
    <d v="2024-08-04T00:00:00"/>
    <s v="Minggu"/>
    <x v="9"/>
    <s v="Q3"/>
    <n v="2024"/>
    <s v="Sore (16-20)"/>
    <s v="Kopi Kapal Api"/>
    <x v="0"/>
    <n v="12000"/>
    <n v="3"/>
    <n v="0"/>
    <n v="36000"/>
    <n v="21585"/>
    <n v="14415"/>
    <n v="40.04"/>
    <x v="4"/>
    <s v="Agus"/>
    <x v="2"/>
    <x v="1"/>
    <n v="3"/>
  </r>
  <r>
    <x v="282"/>
    <d v="2023-08-28T00:00:00"/>
    <s v="Senin"/>
    <x v="9"/>
    <s v="Q3"/>
    <n v="2023"/>
    <s v="Siang (12-16)"/>
    <s v="Teh Botol"/>
    <x v="0"/>
    <n v="6000"/>
    <n v="3"/>
    <n v="20"/>
    <n v="14400"/>
    <n v="9805"/>
    <n v="4595"/>
    <n v="31.91"/>
    <x v="0"/>
    <s v="Budi"/>
    <x v="0"/>
    <x v="1"/>
    <n v="4"/>
  </r>
  <r>
    <x v="283"/>
    <d v="2023-11-18T00:00:00"/>
    <s v="Sabtu"/>
    <x v="10"/>
    <s v="Q4"/>
    <n v="2023"/>
    <s v="Malam (20-22)"/>
    <s v="Kecap ABC"/>
    <x v="4"/>
    <n v="14000"/>
    <n v="9"/>
    <n v="0"/>
    <n v="126000"/>
    <n v="89962"/>
    <n v="36038"/>
    <n v="28.6"/>
    <x v="1"/>
    <s v="Agus"/>
    <x v="2"/>
    <x v="1"/>
    <n v="1"/>
  </r>
  <r>
    <x v="284"/>
    <d v="2023-04-03T00:00:00"/>
    <s v="Senin"/>
    <x v="1"/>
    <s v="Q2"/>
    <n v="2023"/>
    <s v="Siang (12-16)"/>
    <s v="Qtela"/>
    <x v="1"/>
    <n v="14000"/>
    <n v="10"/>
    <n v="0"/>
    <n v="140000"/>
    <n v="82117"/>
    <n v="57883"/>
    <n v="41.34"/>
    <x v="4"/>
    <s v="Budi"/>
    <x v="0"/>
    <x v="1"/>
    <n v="4"/>
  </r>
  <r>
    <x v="285"/>
    <d v="2024-06-09T00:00:00"/>
    <s v="Minggu"/>
    <x v="7"/>
    <s v="Q2"/>
    <n v="2024"/>
    <s v="Siang (12-16)"/>
    <s v="Pocari Sweat"/>
    <x v="0"/>
    <n v="8000"/>
    <n v="5"/>
    <n v="20"/>
    <n v="32000"/>
    <n v="22989"/>
    <n v="9011"/>
    <n v="28.16"/>
    <x v="0"/>
    <s v="Agus"/>
    <x v="1"/>
    <x v="0"/>
    <n v="4"/>
  </r>
  <r>
    <x v="286"/>
    <d v="2023-04-15T00:00:00"/>
    <s v="Sabtu"/>
    <x v="1"/>
    <s v="Q2"/>
    <n v="2023"/>
    <s v="Malam (20-22)"/>
    <s v="Chitato"/>
    <x v="1"/>
    <n v="12000"/>
    <n v="1"/>
    <n v="0"/>
    <n v="12000"/>
    <n v="8294"/>
    <n v="3706"/>
    <n v="30.88"/>
    <x v="1"/>
    <s v="Budi"/>
    <x v="3"/>
    <x v="1"/>
    <n v="1"/>
  </r>
  <r>
    <x v="287"/>
    <d v="2024-08-19T00:00:00"/>
    <s v="Senin"/>
    <x v="9"/>
    <s v="Q3"/>
    <n v="2024"/>
    <s v="Pagi (08-12)"/>
    <s v="Lip Balm Nivea"/>
    <x v="3"/>
    <n v="18000"/>
    <n v="2"/>
    <n v="0"/>
    <n v="36000"/>
    <n v="25903"/>
    <n v="10097"/>
    <n v="28.05"/>
    <x v="1"/>
    <s v="Agus"/>
    <x v="3"/>
    <x v="1"/>
    <n v="1"/>
  </r>
  <r>
    <x v="288"/>
    <d v="2023-02-13T00:00:00"/>
    <s v="Senin"/>
    <x v="5"/>
    <s v="Q1"/>
    <n v="2023"/>
    <s v="Malam (20-22)"/>
    <s v="Kecap ABC"/>
    <x v="4"/>
    <n v="14000"/>
    <n v="3"/>
    <n v="10"/>
    <n v="37800"/>
    <n v="23573"/>
    <n v="14227"/>
    <n v="37.64"/>
    <x v="2"/>
    <s v="Agus"/>
    <x v="0"/>
    <x v="1"/>
    <n v="2"/>
  </r>
  <r>
    <x v="289"/>
    <d v="2023-12-29T00:00:00"/>
    <s v="Jumat"/>
    <x v="8"/>
    <s v="Q4"/>
    <n v="2023"/>
    <s v="Siang (12-16)"/>
    <s v="Oreo"/>
    <x v="1"/>
    <n v="10000"/>
    <n v="5"/>
    <n v="0"/>
    <n v="50000"/>
    <n v="31291"/>
    <n v="18709"/>
    <n v="37.42"/>
    <x v="1"/>
    <s v="Rina"/>
    <x v="4"/>
    <x v="1"/>
    <n v="4"/>
  </r>
  <r>
    <x v="290"/>
    <d v="2024-02-26T00:00:00"/>
    <s v="Senin"/>
    <x v="5"/>
    <s v="Q1"/>
    <n v="2024"/>
    <s v="Siang (12-16)"/>
    <s v="Hand Sanitizer"/>
    <x v="3"/>
    <n v="12000"/>
    <n v="1"/>
    <n v="0"/>
    <n v="12000"/>
    <n v="7171"/>
    <n v="4829"/>
    <n v="40.24"/>
    <x v="1"/>
    <s v="Agus"/>
    <x v="3"/>
    <x v="0"/>
    <n v="4"/>
  </r>
  <r>
    <x v="291"/>
    <d v="2024-01-03T00:00:00"/>
    <s v="Rabu"/>
    <x v="2"/>
    <s v="Q1"/>
    <n v="2024"/>
    <s v="Sore (16-20)"/>
    <s v="Gula Pasir 1kg"/>
    <x v="4"/>
    <n v="16000"/>
    <n v="8"/>
    <n v="0"/>
    <n v="128000"/>
    <n v="90260"/>
    <n v="37740"/>
    <n v="29.48"/>
    <x v="3"/>
    <s v="Siti"/>
    <x v="1"/>
    <x v="0"/>
    <n v="1"/>
  </r>
  <r>
    <x v="292"/>
    <d v="2023-11-23T00:00:00"/>
    <s v="Kamis"/>
    <x v="10"/>
    <s v="Q4"/>
    <n v="2023"/>
    <s v="Sore (16-20)"/>
    <s v="Deodorant Rexona"/>
    <x v="3"/>
    <n v="20000"/>
    <n v="1"/>
    <n v="20"/>
    <n v="16000"/>
    <n v="10918"/>
    <n v="5082"/>
    <n v="31.76"/>
    <x v="0"/>
    <s v="Agus"/>
    <x v="4"/>
    <x v="0"/>
    <n v="2"/>
  </r>
  <r>
    <x v="293"/>
    <d v="2023-04-13T00:00:00"/>
    <s v="Kamis"/>
    <x v="1"/>
    <s v="Q2"/>
    <n v="2023"/>
    <s v="Malam (20-22)"/>
    <s v="Oreo"/>
    <x v="1"/>
    <n v="10000"/>
    <n v="5"/>
    <n v="10"/>
    <n v="45000"/>
    <n v="30995"/>
    <n v="14005"/>
    <n v="31.12"/>
    <x v="0"/>
    <s v="Budi"/>
    <x v="4"/>
    <x v="1"/>
    <n v="2"/>
  </r>
  <r>
    <x v="294"/>
    <d v="2023-06-30T00:00:00"/>
    <s v="Jumat"/>
    <x v="7"/>
    <s v="Q2"/>
    <n v="2023"/>
    <s v="Sore (16-20)"/>
    <s v="Cheetos"/>
    <x v="1"/>
    <n v="11000"/>
    <n v="6"/>
    <n v="20"/>
    <n v="52800"/>
    <n v="35665"/>
    <n v="17135"/>
    <n v="32.450000000000003"/>
    <x v="4"/>
    <s v="Dewi"/>
    <x v="0"/>
    <x v="0"/>
    <n v="5"/>
  </r>
  <r>
    <x v="295"/>
    <d v="2023-07-12T00:00:00"/>
    <s v="Rabu"/>
    <x v="4"/>
    <s v="Q3"/>
    <n v="2023"/>
    <s v="Siang (12-16)"/>
    <s v="Gula Pasir 1kg"/>
    <x v="4"/>
    <n v="16000"/>
    <n v="5"/>
    <n v="0"/>
    <n v="80000"/>
    <n v="50670"/>
    <n v="29330"/>
    <n v="36.659999999999997"/>
    <x v="0"/>
    <s v="Rina"/>
    <x v="3"/>
    <x v="0"/>
    <n v="5"/>
  </r>
  <r>
    <x v="296"/>
    <d v="2024-05-04T00:00:00"/>
    <s v="Sabtu"/>
    <x v="11"/>
    <s v="Q2"/>
    <n v="2024"/>
    <s v="Pagi (08-12)"/>
    <s v="Pocari Sweat"/>
    <x v="0"/>
    <n v="8000"/>
    <n v="10"/>
    <n v="0"/>
    <n v="80000"/>
    <n v="54968"/>
    <n v="25032"/>
    <n v="31.29"/>
    <x v="4"/>
    <s v="Budi"/>
    <x v="2"/>
    <x v="0"/>
    <n v="2"/>
  </r>
  <r>
    <x v="297"/>
    <d v="2024-08-23T00:00:00"/>
    <s v="Jumat"/>
    <x v="9"/>
    <s v="Q3"/>
    <n v="2024"/>
    <s v="Pagi (08-12)"/>
    <s v="Chitato"/>
    <x v="1"/>
    <n v="12000"/>
    <n v="9"/>
    <n v="20"/>
    <n v="86400"/>
    <n v="52880"/>
    <n v="33520"/>
    <n v="38.799999999999997"/>
    <x v="0"/>
    <s v="Siti"/>
    <x v="1"/>
    <x v="1"/>
    <n v="3"/>
  </r>
  <r>
    <x v="298"/>
    <d v="2023-11-27T00:00:00"/>
    <s v="Senin"/>
    <x v="10"/>
    <s v="Q4"/>
    <n v="2023"/>
    <s v="Sore (16-20)"/>
    <s v="Oreo"/>
    <x v="1"/>
    <n v="10000"/>
    <n v="7"/>
    <n v="20"/>
    <n v="56000"/>
    <n v="36886"/>
    <n v="19114"/>
    <n v="34.130000000000003"/>
    <x v="2"/>
    <s v="Siti"/>
    <x v="3"/>
    <x v="0"/>
    <n v="5"/>
  </r>
  <r>
    <x v="299"/>
    <d v="2023-06-29T00:00:00"/>
    <s v="Kamis"/>
    <x v="7"/>
    <s v="Q2"/>
    <n v="2023"/>
    <s v="Pagi (08-12)"/>
    <s v="Royco Ayam"/>
    <x v="4"/>
    <n v="5000"/>
    <n v="5"/>
    <n v="0"/>
    <n v="25000"/>
    <n v="14505"/>
    <n v="10495"/>
    <n v="41.98"/>
    <x v="0"/>
    <s v="Dewi"/>
    <x v="1"/>
    <x v="0"/>
    <n v="5"/>
  </r>
  <r>
    <x v="300"/>
    <d v="2023-11-22T00:00:00"/>
    <s v="Rabu"/>
    <x v="10"/>
    <s v="Q4"/>
    <n v="2023"/>
    <s v="Siang (12-16)"/>
    <s v="Deodorant Rexona"/>
    <x v="3"/>
    <n v="20000"/>
    <n v="10"/>
    <n v="0"/>
    <n v="200000"/>
    <n v="141847"/>
    <n v="58153"/>
    <n v="29.08"/>
    <x v="1"/>
    <s v="Siti"/>
    <x v="0"/>
    <x v="1"/>
    <n v="3"/>
  </r>
  <r>
    <x v="301"/>
    <d v="2023-06-21T00:00:00"/>
    <s v="Rabu"/>
    <x v="7"/>
    <s v="Q2"/>
    <n v="2023"/>
    <s v="Sore (16-20)"/>
    <s v="Pocari Sweat"/>
    <x v="0"/>
    <n v="8000"/>
    <n v="8"/>
    <n v="0"/>
    <n v="64000"/>
    <n v="38086"/>
    <n v="25914"/>
    <n v="40.49"/>
    <x v="1"/>
    <s v="Rina"/>
    <x v="2"/>
    <x v="0"/>
    <n v="1"/>
  </r>
  <r>
    <x v="302"/>
    <d v="2023-02-19T00:00:00"/>
    <s v="Minggu"/>
    <x v="5"/>
    <s v="Q1"/>
    <n v="2023"/>
    <s v="Malam (20-22)"/>
    <s v="Sania Minyak Goreng"/>
    <x v="4"/>
    <n v="28000"/>
    <n v="7"/>
    <n v="0"/>
    <n v="196000"/>
    <n v="137273"/>
    <n v="58727"/>
    <n v="29.96"/>
    <x v="2"/>
    <s v="Agus"/>
    <x v="2"/>
    <x v="0"/>
    <n v="4"/>
  </r>
  <r>
    <x v="303"/>
    <d v="2024-08-14T00:00:00"/>
    <s v="Rabu"/>
    <x v="9"/>
    <s v="Q3"/>
    <n v="2024"/>
    <s v="Sore (16-20)"/>
    <s v="Oreo"/>
    <x v="1"/>
    <n v="10000"/>
    <n v="8"/>
    <n v="0"/>
    <n v="80000"/>
    <n v="54869"/>
    <n v="25131"/>
    <n v="31.41"/>
    <x v="0"/>
    <s v="Siti"/>
    <x v="0"/>
    <x v="1"/>
    <n v="1"/>
  </r>
  <r>
    <x v="304"/>
    <d v="2023-03-17T00:00:00"/>
    <s v="Jumat"/>
    <x v="3"/>
    <s v="Q1"/>
    <n v="2023"/>
    <s v="Malam (20-22)"/>
    <s v="Shampo Sunsilk"/>
    <x v="2"/>
    <n v="15000"/>
    <n v="7"/>
    <n v="0"/>
    <n v="105000"/>
    <n v="70816"/>
    <n v="34184"/>
    <n v="32.56"/>
    <x v="3"/>
    <s v="Rina"/>
    <x v="2"/>
    <x v="0"/>
    <n v="4"/>
  </r>
  <r>
    <x v="305"/>
    <d v="2024-10-31T00:00:00"/>
    <s v="Kamis"/>
    <x v="0"/>
    <s v="Q4"/>
    <n v="2024"/>
    <s v="Malam (20-22)"/>
    <s v="Cheetos"/>
    <x v="1"/>
    <n v="11000"/>
    <n v="7"/>
    <n v="0"/>
    <n v="77000"/>
    <n v="43051"/>
    <n v="33949"/>
    <n v="44.09"/>
    <x v="4"/>
    <s v="Budi"/>
    <x v="3"/>
    <x v="1"/>
    <n v="3"/>
  </r>
  <r>
    <x v="306"/>
    <d v="2023-11-01T00:00:00"/>
    <s v="Rabu"/>
    <x v="10"/>
    <s v="Q4"/>
    <n v="2023"/>
    <s v="Sore (16-20)"/>
    <s v="Chitato"/>
    <x v="1"/>
    <n v="12000"/>
    <n v="1"/>
    <n v="5"/>
    <n v="11400"/>
    <n v="7378"/>
    <n v="4022"/>
    <n v="35.28"/>
    <x v="2"/>
    <s v="Budi"/>
    <x v="0"/>
    <x v="0"/>
    <n v="4"/>
  </r>
  <r>
    <x v="307"/>
    <d v="2023-03-31T00:00:00"/>
    <s v="Jumat"/>
    <x v="3"/>
    <s v="Q1"/>
    <n v="2023"/>
    <s v="Pagi (08-12)"/>
    <s v="Softex"/>
    <x v="2"/>
    <n v="18000"/>
    <n v="8"/>
    <n v="0"/>
    <n v="144000"/>
    <n v="81574"/>
    <n v="62426"/>
    <n v="43.35"/>
    <x v="1"/>
    <s v="Budi"/>
    <x v="2"/>
    <x v="1"/>
    <n v="1"/>
  </r>
  <r>
    <x v="308"/>
    <d v="2023-11-12T00:00:00"/>
    <s v="Minggu"/>
    <x v="10"/>
    <s v="Q4"/>
    <n v="2023"/>
    <s v="Sore (16-20)"/>
    <s v="Sania Minyak Goreng"/>
    <x v="4"/>
    <n v="28000"/>
    <n v="8"/>
    <n v="15"/>
    <n v="190400"/>
    <n v="113298"/>
    <n v="77102"/>
    <n v="40.49"/>
    <x v="3"/>
    <s v="Agus"/>
    <x v="3"/>
    <x v="1"/>
    <n v="3"/>
  </r>
  <r>
    <x v="309"/>
    <d v="2023-07-11T00:00:00"/>
    <s v="Selasa"/>
    <x v="4"/>
    <s v="Q3"/>
    <n v="2023"/>
    <s v="Pagi (08-12)"/>
    <s v="Kecap ABC"/>
    <x v="4"/>
    <n v="14000"/>
    <n v="5"/>
    <n v="5"/>
    <n v="66500"/>
    <n v="41832"/>
    <n v="24668"/>
    <n v="37.090000000000003"/>
    <x v="1"/>
    <s v="Siti"/>
    <x v="4"/>
    <x v="0"/>
    <n v="1"/>
  </r>
  <r>
    <x v="310"/>
    <d v="2023-03-29T00:00:00"/>
    <s v="Rabu"/>
    <x v="3"/>
    <s v="Q1"/>
    <n v="2023"/>
    <s v="Malam (20-22)"/>
    <s v="Softex"/>
    <x v="2"/>
    <n v="18000"/>
    <n v="7"/>
    <n v="20"/>
    <n v="100800"/>
    <n v="65546"/>
    <n v="35254"/>
    <n v="34.97"/>
    <x v="3"/>
    <s v="Rina"/>
    <x v="1"/>
    <x v="1"/>
    <n v="5"/>
  </r>
  <r>
    <x v="311"/>
    <d v="2023-08-30T00:00:00"/>
    <s v="Rabu"/>
    <x v="9"/>
    <s v="Q3"/>
    <n v="2023"/>
    <s v="Siang (12-16)"/>
    <s v="Royco Ayam"/>
    <x v="4"/>
    <n v="5000"/>
    <n v="2"/>
    <n v="5"/>
    <n v="9500"/>
    <n v="6683"/>
    <n v="2817"/>
    <n v="29.65"/>
    <x v="0"/>
    <s v="Dewi"/>
    <x v="4"/>
    <x v="0"/>
    <n v="4"/>
  </r>
  <r>
    <x v="312"/>
    <d v="2023-06-27T00:00:00"/>
    <s v="Selasa"/>
    <x v="7"/>
    <s v="Q2"/>
    <n v="2023"/>
    <s v="Siang (12-16)"/>
    <s v="Oreo"/>
    <x v="1"/>
    <n v="10000"/>
    <n v="4"/>
    <n v="0"/>
    <n v="40000"/>
    <n v="22290"/>
    <n v="17710"/>
    <n v="44.27"/>
    <x v="0"/>
    <s v="Agus"/>
    <x v="3"/>
    <x v="1"/>
    <n v="3"/>
  </r>
  <r>
    <x v="313"/>
    <d v="2023-03-10T00:00:00"/>
    <s v="Jumat"/>
    <x v="3"/>
    <s v="Q1"/>
    <n v="2023"/>
    <s v="Pagi (08-12)"/>
    <s v="Kopi Kapal Api"/>
    <x v="0"/>
    <n v="12000"/>
    <n v="9"/>
    <n v="5"/>
    <n v="102600"/>
    <n v="66059"/>
    <n v="36541"/>
    <n v="35.619999999999997"/>
    <x v="4"/>
    <s v="Dewi"/>
    <x v="1"/>
    <x v="1"/>
    <n v="1"/>
  </r>
  <r>
    <x v="314"/>
    <d v="2024-02-29T00:00:00"/>
    <s v="Kamis"/>
    <x v="5"/>
    <s v="Q1"/>
    <n v="2024"/>
    <s v="Pagi (08-12)"/>
    <s v="Oreo"/>
    <x v="1"/>
    <n v="10000"/>
    <n v="10"/>
    <n v="10"/>
    <n v="90000"/>
    <n v="58415"/>
    <n v="31585"/>
    <n v="35.090000000000003"/>
    <x v="0"/>
    <s v="Rina"/>
    <x v="4"/>
    <x v="1"/>
    <n v="5"/>
  </r>
  <r>
    <x v="315"/>
    <d v="2023-12-19T00:00:00"/>
    <s v="Selasa"/>
    <x v="8"/>
    <s v="Q4"/>
    <n v="2023"/>
    <s v="Siang (12-16)"/>
    <s v="Royco Ayam"/>
    <x v="4"/>
    <n v="5000"/>
    <n v="7"/>
    <n v="15"/>
    <n v="29750"/>
    <n v="18818"/>
    <n v="10932"/>
    <n v="36.75"/>
    <x v="3"/>
    <s v="Agus"/>
    <x v="0"/>
    <x v="1"/>
    <n v="4"/>
  </r>
  <r>
    <x v="316"/>
    <d v="2023-05-28T00:00:00"/>
    <s v="Minggu"/>
    <x v="11"/>
    <s v="Q2"/>
    <n v="2023"/>
    <s v="Malam (20-22)"/>
    <s v="Kapas Kecantikan"/>
    <x v="3"/>
    <n v="8000"/>
    <n v="7"/>
    <n v="0"/>
    <n v="56000"/>
    <n v="34568"/>
    <n v="21432"/>
    <n v="38.270000000000003"/>
    <x v="4"/>
    <s v="Budi"/>
    <x v="0"/>
    <x v="1"/>
    <n v="3"/>
  </r>
  <r>
    <x v="317"/>
    <d v="2023-01-21T00:00:00"/>
    <s v="Sabtu"/>
    <x v="2"/>
    <s v="Q1"/>
    <n v="2023"/>
    <s v="Sore (16-20)"/>
    <s v="Pasta Gigi Pepsodent"/>
    <x v="2"/>
    <n v="12000"/>
    <n v="5"/>
    <n v="0"/>
    <n v="60000"/>
    <n v="41597"/>
    <n v="18403"/>
    <n v="30.67"/>
    <x v="0"/>
    <s v="Budi"/>
    <x v="3"/>
    <x v="1"/>
    <n v="3"/>
  </r>
  <r>
    <x v="318"/>
    <d v="2023-10-03T00:00:00"/>
    <s v="Selasa"/>
    <x v="0"/>
    <s v="Q4"/>
    <n v="2023"/>
    <s v="Sore (16-20)"/>
    <s v="Gula Pasir 1kg"/>
    <x v="4"/>
    <n v="16000"/>
    <n v="2"/>
    <n v="0"/>
    <n v="32000"/>
    <n v="20003"/>
    <n v="11997"/>
    <n v="37.49"/>
    <x v="2"/>
    <s v="Agus"/>
    <x v="4"/>
    <x v="0"/>
    <n v="5"/>
  </r>
  <r>
    <x v="319"/>
    <d v="2023-06-12T00:00:00"/>
    <s v="Senin"/>
    <x v="7"/>
    <s v="Q2"/>
    <n v="2023"/>
    <s v="Siang (12-16)"/>
    <s v="Pocari Sweat"/>
    <x v="0"/>
    <n v="8000"/>
    <n v="9"/>
    <n v="5"/>
    <n v="68400"/>
    <n v="39197"/>
    <n v="29203"/>
    <n v="42.69"/>
    <x v="3"/>
    <s v="Dewi"/>
    <x v="0"/>
    <x v="0"/>
    <n v="2"/>
  </r>
  <r>
    <x v="320"/>
    <d v="2023-03-01T00:00:00"/>
    <s v="Rabu"/>
    <x v="3"/>
    <s v="Q1"/>
    <n v="2023"/>
    <s v="Malam (20-22)"/>
    <s v="Chitato"/>
    <x v="1"/>
    <n v="12000"/>
    <n v="8"/>
    <n v="0"/>
    <n v="96000"/>
    <n v="67782"/>
    <n v="28218"/>
    <n v="29.39"/>
    <x v="1"/>
    <s v="Siti"/>
    <x v="2"/>
    <x v="1"/>
    <n v="1"/>
  </r>
  <r>
    <x v="321"/>
    <d v="2024-11-28T00:00:00"/>
    <s v="Kamis"/>
    <x v="10"/>
    <s v="Q4"/>
    <n v="2024"/>
    <s v="Sore (16-20)"/>
    <s v="Teh Botol"/>
    <x v="0"/>
    <n v="6000"/>
    <n v="6"/>
    <n v="5"/>
    <n v="34200"/>
    <n v="22264"/>
    <n v="11936"/>
    <n v="34.9"/>
    <x v="1"/>
    <s v="Agus"/>
    <x v="4"/>
    <x v="1"/>
    <n v="2"/>
  </r>
  <r>
    <x v="322"/>
    <d v="2023-09-22T00:00:00"/>
    <s v="Jumat"/>
    <x v="6"/>
    <s v="Q3"/>
    <n v="2023"/>
    <s v="Siang (12-16)"/>
    <s v="Pocari Sweat"/>
    <x v="0"/>
    <n v="8000"/>
    <n v="1"/>
    <n v="5"/>
    <n v="7600"/>
    <n v="4244"/>
    <n v="3356"/>
    <n v="44.16"/>
    <x v="3"/>
    <s v="Budi"/>
    <x v="3"/>
    <x v="0"/>
    <n v="3"/>
  </r>
  <r>
    <x v="323"/>
    <d v="2024-10-29T00:00:00"/>
    <s v="Selasa"/>
    <x v="0"/>
    <s v="Q4"/>
    <n v="2024"/>
    <s v="Siang (12-16)"/>
    <s v="Gula Pasir 1kg"/>
    <x v="4"/>
    <n v="16000"/>
    <n v="1"/>
    <n v="20"/>
    <n v="12800"/>
    <n v="8738"/>
    <n v="4062"/>
    <n v="31.73"/>
    <x v="0"/>
    <s v="Agus"/>
    <x v="3"/>
    <x v="0"/>
    <n v="2"/>
  </r>
  <r>
    <x v="324"/>
    <d v="2023-09-16T00:00:00"/>
    <s v="Sabtu"/>
    <x v="6"/>
    <s v="Q3"/>
    <n v="2023"/>
    <s v="Siang (12-16)"/>
    <s v="Lip Balm Nivea"/>
    <x v="3"/>
    <n v="18000"/>
    <n v="5"/>
    <n v="5"/>
    <n v="85500"/>
    <n v="60041"/>
    <n v="25459"/>
    <n v="29.78"/>
    <x v="4"/>
    <s v="Agus"/>
    <x v="2"/>
    <x v="1"/>
    <n v="3"/>
  </r>
  <r>
    <x v="325"/>
    <d v="2024-11-24T00:00:00"/>
    <s v="Minggu"/>
    <x v="10"/>
    <s v="Q4"/>
    <n v="2024"/>
    <s v="Sore (16-20)"/>
    <s v="Kapas Kecantikan"/>
    <x v="3"/>
    <n v="8000"/>
    <n v="7"/>
    <n v="10"/>
    <n v="50400"/>
    <n v="28597"/>
    <n v="21803"/>
    <n v="43.26"/>
    <x v="3"/>
    <s v="Siti"/>
    <x v="4"/>
    <x v="1"/>
    <n v="1"/>
  </r>
  <r>
    <x v="326"/>
    <d v="2024-05-08T00:00:00"/>
    <s v="Rabu"/>
    <x v="11"/>
    <s v="Q2"/>
    <n v="2024"/>
    <s v="Siang (12-16)"/>
    <s v="Pocari Sweat"/>
    <x v="0"/>
    <n v="8000"/>
    <n v="5"/>
    <n v="15"/>
    <n v="34000"/>
    <n v="20579"/>
    <n v="13421"/>
    <n v="39.47"/>
    <x v="4"/>
    <s v="Siti"/>
    <x v="2"/>
    <x v="0"/>
    <n v="5"/>
  </r>
  <r>
    <x v="327"/>
    <d v="2023-09-04T00:00:00"/>
    <s v="Senin"/>
    <x v="6"/>
    <s v="Q3"/>
    <n v="2023"/>
    <s v="Sore (16-20)"/>
    <s v="Susu Ultra"/>
    <x v="0"/>
    <n v="9000"/>
    <n v="7"/>
    <n v="15"/>
    <n v="53550"/>
    <n v="32362"/>
    <n v="21188"/>
    <n v="39.57"/>
    <x v="1"/>
    <s v="Rina"/>
    <x v="1"/>
    <x v="1"/>
    <n v="4"/>
  </r>
  <r>
    <x v="328"/>
    <d v="2024-02-19T00:00:00"/>
    <s v="Senin"/>
    <x v="5"/>
    <s v="Q1"/>
    <n v="2024"/>
    <s v="Malam (20-22)"/>
    <s v="Kecap ABC"/>
    <x v="4"/>
    <n v="14000"/>
    <n v="10"/>
    <n v="15"/>
    <n v="119000"/>
    <n v="85574"/>
    <n v="33426"/>
    <n v="28.09"/>
    <x v="1"/>
    <s v="Siti"/>
    <x v="3"/>
    <x v="1"/>
    <n v="5"/>
  </r>
  <r>
    <x v="329"/>
    <d v="2023-11-04T00:00:00"/>
    <s v="Sabtu"/>
    <x v="10"/>
    <s v="Q4"/>
    <n v="2023"/>
    <s v="Siang (12-16)"/>
    <s v="Cheetos"/>
    <x v="1"/>
    <n v="11000"/>
    <n v="3"/>
    <n v="0"/>
    <n v="33000"/>
    <n v="18698"/>
    <n v="14302"/>
    <n v="43.34"/>
    <x v="1"/>
    <s v="Siti"/>
    <x v="4"/>
    <x v="1"/>
    <n v="1"/>
  </r>
  <r>
    <x v="330"/>
    <d v="2023-08-16T00:00:00"/>
    <s v="Rabu"/>
    <x v="9"/>
    <s v="Q3"/>
    <n v="2023"/>
    <s v="Sore (16-20)"/>
    <s v="Shampo Sunsilk"/>
    <x v="2"/>
    <n v="15000"/>
    <n v="5"/>
    <n v="5"/>
    <n v="71250"/>
    <n v="48733"/>
    <n v="22517"/>
    <n v="31.6"/>
    <x v="4"/>
    <s v="Siti"/>
    <x v="2"/>
    <x v="1"/>
    <n v="1"/>
  </r>
  <r>
    <x v="331"/>
    <d v="2024-04-26T00:00:00"/>
    <s v="Jumat"/>
    <x v="1"/>
    <s v="Q2"/>
    <n v="2024"/>
    <s v="Malam (20-22)"/>
    <s v="Susu Ultra"/>
    <x v="0"/>
    <n v="9000"/>
    <n v="10"/>
    <n v="10"/>
    <n v="81000"/>
    <n v="45531"/>
    <n v="35469"/>
    <n v="43.79"/>
    <x v="1"/>
    <s v="Dewi"/>
    <x v="0"/>
    <x v="1"/>
    <n v="4"/>
  </r>
  <r>
    <x v="332"/>
    <d v="2023-02-25T00:00:00"/>
    <s v="Sabtu"/>
    <x v="5"/>
    <s v="Q1"/>
    <n v="2023"/>
    <s v="Sore (16-20)"/>
    <s v="Oreo"/>
    <x v="1"/>
    <n v="10000"/>
    <n v="4"/>
    <n v="0"/>
    <n v="40000"/>
    <n v="24783"/>
    <n v="15217"/>
    <n v="38.04"/>
    <x v="3"/>
    <s v="Agus"/>
    <x v="3"/>
    <x v="0"/>
    <n v="1"/>
  </r>
  <r>
    <x v="333"/>
    <d v="2024-05-14T00:00:00"/>
    <s v="Selasa"/>
    <x v="11"/>
    <s v="Q2"/>
    <n v="2024"/>
    <s v="Siang (12-16)"/>
    <s v="Shampo Sunsilk"/>
    <x v="2"/>
    <n v="15000"/>
    <n v="6"/>
    <n v="15"/>
    <n v="76500"/>
    <n v="42829"/>
    <n v="33671"/>
    <n v="44.01"/>
    <x v="2"/>
    <s v="Siti"/>
    <x v="3"/>
    <x v="0"/>
    <n v="4"/>
  </r>
  <r>
    <x v="334"/>
    <d v="2023-04-01T00:00:00"/>
    <s v="Sabtu"/>
    <x v="1"/>
    <s v="Q2"/>
    <n v="2023"/>
    <s v="Pagi (08-12)"/>
    <s v="Cheetos"/>
    <x v="1"/>
    <n v="11000"/>
    <n v="7"/>
    <n v="15"/>
    <n v="65450"/>
    <n v="40775"/>
    <n v="24675"/>
    <n v="37.700000000000003"/>
    <x v="2"/>
    <s v="Agus"/>
    <x v="1"/>
    <x v="0"/>
    <n v="5"/>
  </r>
  <r>
    <x v="335"/>
    <d v="2023-07-24T00:00:00"/>
    <s v="Senin"/>
    <x v="4"/>
    <s v="Q3"/>
    <n v="2023"/>
    <s v="Siang (12-16)"/>
    <s v="Sabun Lifebuoy"/>
    <x v="2"/>
    <n v="8000"/>
    <n v="6"/>
    <n v="20"/>
    <n v="38400"/>
    <n v="26559"/>
    <n v="11841"/>
    <n v="30.84"/>
    <x v="1"/>
    <s v="Rina"/>
    <x v="0"/>
    <x v="0"/>
    <n v="3"/>
  </r>
  <r>
    <x v="336"/>
    <d v="2023-11-16T00:00:00"/>
    <s v="Kamis"/>
    <x v="10"/>
    <s v="Q4"/>
    <n v="2023"/>
    <s v="Sore (16-20)"/>
    <s v="Chitato"/>
    <x v="1"/>
    <n v="12000"/>
    <n v="7"/>
    <n v="10"/>
    <n v="75600"/>
    <n v="49146"/>
    <n v="26454"/>
    <n v="34.99"/>
    <x v="1"/>
    <s v="Rina"/>
    <x v="0"/>
    <x v="1"/>
    <n v="4"/>
  </r>
  <r>
    <x v="337"/>
    <d v="2024-06-16T00:00:00"/>
    <s v="Minggu"/>
    <x v="7"/>
    <s v="Q2"/>
    <n v="2024"/>
    <s v="Sore (16-20)"/>
    <s v="Kapas Kecantikan"/>
    <x v="3"/>
    <n v="8000"/>
    <n v="6"/>
    <n v="5"/>
    <n v="45600"/>
    <n v="31964"/>
    <n v="13636"/>
    <n v="29.9"/>
    <x v="1"/>
    <s v="Siti"/>
    <x v="1"/>
    <x v="0"/>
    <n v="2"/>
  </r>
  <r>
    <x v="338"/>
    <d v="2024-02-18T00:00:00"/>
    <s v="Minggu"/>
    <x v="5"/>
    <s v="Q1"/>
    <n v="2024"/>
    <s v="Siang (12-16)"/>
    <s v="Teh Botol"/>
    <x v="0"/>
    <n v="6000"/>
    <n v="4"/>
    <n v="15"/>
    <n v="20400"/>
    <n v="14636"/>
    <n v="5764"/>
    <n v="28.25"/>
    <x v="1"/>
    <s v="Rina"/>
    <x v="4"/>
    <x v="0"/>
    <n v="3"/>
  </r>
  <r>
    <x v="339"/>
    <d v="2024-12-29T00:00:00"/>
    <s v="Minggu"/>
    <x v="8"/>
    <s v="Q4"/>
    <n v="2024"/>
    <s v="Pagi (08-12)"/>
    <s v="Kopi Kapal Api"/>
    <x v="0"/>
    <n v="12000"/>
    <n v="5"/>
    <n v="20"/>
    <n v="48000"/>
    <n v="30763"/>
    <n v="17237"/>
    <n v="35.909999999999997"/>
    <x v="0"/>
    <s v="Dewi"/>
    <x v="0"/>
    <x v="0"/>
    <n v="1"/>
  </r>
  <r>
    <x v="340"/>
    <d v="2024-12-07T00:00:00"/>
    <s v="Sabtu"/>
    <x v="8"/>
    <s v="Q4"/>
    <n v="2024"/>
    <s v="Siang (12-16)"/>
    <s v="Kopi Kapal Api"/>
    <x v="0"/>
    <n v="12000"/>
    <n v="8"/>
    <n v="5"/>
    <n v="91200"/>
    <n v="52076"/>
    <n v="39124"/>
    <n v="42.9"/>
    <x v="4"/>
    <s v="Agus"/>
    <x v="3"/>
    <x v="0"/>
    <n v="3"/>
  </r>
  <r>
    <x v="341"/>
    <d v="2024-03-06T00:00:00"/>
    <s v="Rabu"/>
    <x v="3"/>
    <s v="Q1"/>
    <n v="2024"/>
    <s v="Pagi (08-12)"/>
    <s v="Susu Ultra"/>
    <x v="0"/>
    <n v="9000"/>
    <n v="5"/>
    <n v="10"/>
    <n v="40500"/>
    <n v="26445"/>
    <n v="14055"/>
    <n v="34.700000000000003"/>
    <x v="1"/>
    <s v="Agus"/>
    <x v="0"/>
    <x v="1"/>
    <n v="1"/>
  </r>
  <r>
    <x v="342"/>
    <d v="2023-04-19T00:00:00"/>
    <s v="Rabu"/>
    <x v="1"/>
    <s v="Q2"/>
    <n v="2023"/>
    <s v="Malam (20-22)"/>
    <s v="Saos Sambal"/>
    <x v="4"/>
    <n v="10000"/>
    <n v="10"/>
    <n v="0"/>
    <n v="100000"/>
    <n v="68225"/>
    <n v="31775"/>
    <n v="31.77"/>
    <x v="3"/>
    <s v="Budi"/>
    <x v="2"/>
    <x v="1"/>
    <n v="2"/>
  </r>
  <r>
    <x v="343"/>
    <d v="2023-02-10T00:00:00"/>
    <s v="Jumat"/>
    <x v="5"/>
    <s v="Q1"/>
    <n v="2023"/>
    <s v="Pagi (08-12)"/>
    <s v="Hand Sanitizer"/>
    <x v="3"/>
    <n v="12000"/>
    <n v="4"/>
    <n v="15"/>
    <n v="40800"/>
    <n v="28912"/>
    <n v="11888"/>
    <n v="29.14"/>
    <x v="4"/>
    <s v="Budi"/>
    <x v="0"/>
    <x v="0"/>
    <n v="1"/>
  </r>
  <r>
    <x v="344"/>
    <d v="2024-08-10T00:00:00"/>
    <s v="Sabtu"/>
    <x v="9"/>
    <s v="Q3"/>
    <n v="2024"/>
    <s v="Malam (20-22)"/>
    <s v="Saos Sambal"/>
    <x v="4"/>
    <n v="10000"/>
    <n v="2"/>
    <n v="20"/>
    <n v="16000"/>
    <n v="10192"/>
    <n v="5808"/>
    <n v="36.299999999999997"/>
    <x v="0"/>
    <s v="Siti"/>
    <x v="3"/>
    <x v="1"/>
    <n v="3"/>
  </r>
  <r>
    <x v="345"/>
    <d v="2024-04-20T00:00:00"/>
    <s v="Sabtu"/>
    <x v="1"/>
    <s v="Q2"/>
    <n v="2024"/>
    <s v="Malam (20-22)"/>
    <s v="Aqua 1.5L"/>
    <x v="0"/>
    <n v="5000"/>
    <n v="3"/>
    <n v="20"/>
    <n v="12000"/>
    <n v="6680"/>
    <n v="5320"/>
    <n v="44.33"/>
    <x v="4"/>
    <s v="Siti"/>
    <x v="2"/>
    <x v="0"/>
    <n v="1"/>
  </r>
  <r>
    <x v="346"/>
    <d v="2023-02-16T00:00:00"/>
    <s v="Kamis"/>
    <x v="5"/>
    <s v="Q1"/>
    <n v="2023"/>
    <s v="Pagi (08-12)"/>
    <s v="Teh Botol"/>
    <x v="0"/>
    <n v="6000"/>
    <n v="3"/>
    <n v="0"/>
    <n v="18000"/>
    <n v="10994"/>
    <n v="7006"/>
    <n v="38.92"/>
    <x v="2"/>
    <s v="Dewi"/>
    <x v="2"/>
    <x v="1"/>
    <n v="3"/>
  </r>
  <r>
    <x v="347"/>
    <d v="2023-07-07T00:00:00"/>
    <s v="Jumat"/>
    <x v="4"/>
    <s v="Q3"/>
    <n v="2023"/>
    <s v="Siang (12-16)"/>
    <s v="Kopi Kapal Api"/>
    <x v="0"/>
    <n v="12000"/>
    <n v="7"/>
    <n v="5"/>
    <n v="79800"/>
    <n v="47578"/>
    <n v="32222"/>
    <n v="40.380000000000003"/>
    <x v="2"/>
    <s v="Agus"/>
    <x v="1"/>
    <x v="0"/>
    <n v="2"/>
  </r>
  <r>
    <x v="348"/>
    <d v="2024-12-13T00:00:00"/>
    <s v="Jumat"/>
    <x v="8"/>
    <s v="Q4"/>
    <n v="2024"/>
    <s v="Siang (12-16)"/>
    <s v="Teh Botol"/>
    <x v="0"/>
    <n v="6000"/>
    <n v="2"/>
    <n v="5"/>
    <n v="11400"/>
    <n v="8036"/>
    <n v="3364"/>
    <n v="29.51"/>
    <x v="2"/>
    <s v="Dewi"/>
    <x v="1"/>
    <x v="1"/>
    <n v="3"/>
  </r>
  <r>
    <x v="349"/>
    <d v="2024-09-18T00:00:00"/>
    <s v="Rabu"/>
    <x v="6"/>
    <s v="Q3"/>
    <n v="2024"/>
    <s v="Pagi (08-12)"/>
    <s v="Teh Botol"/>
    <x v="0"/>
    <n v="6000"/>
    <n v="8"/>
    <n v="5"/>
    <n v="45600"/>
    <n v="25955"/>
    <n v="19645"/>
    <n v="43.08"/>
    <x v="2"/>
    <s v="Agus"/>
    <x v="0"/>
    <x v="1"/>
    <n v="3"/>
  </r>
  <r>
    <x v="350"/>
    <d v="2023-01-13T00:00:00"/>
    <s v="Jumat"/>
    <x v="2"/>
    <s v="Q1"/>
    <n v="2023"/>
    <s v="Pagi (08-12)"/>
    <s v="Kapas Kecantikan"/>
    <x v="3"/>
    <n v="8000"/>
    <n v="10"/>
    <n v="0"/>
    <n v="80000"/>
    <n v="57299"/>
    <n v="22701"/>
    <n v="28.38"/>
    <x v="4"/>
    <s v="Dewi"/>
    <x v="4"/>
    <x v="1"/>
    <n v="2"/>
  </r>
  <r>
    <x v="351"/>
    <d v="2024-05-08T00:00:00"/>
    <s v="Rabu"/>
    <x v="11"/>
    <s v="Q2"/>
    <n v="2024"/>
    <s v="Siang (12-16)"/>
    <s v="Deterjen Rinso"/>
    <x v="2"/>
    <n v="22000"/>
    <n v="3"/>
    <n v="20"/>
    <n v="52800"/>
    <n v="36458"/>
    <n v="16342"/>
    <n v="30.95"/>
    <x v="3"/>
    <s v="Rina"/>
    <x v="0"/>
    <x v="1"/>
    <n v="4"/>
  </r>
  <r>
    <x v="352"/>
    <d v="2023-06-19T00:00:00"/>
    <s v="Senin"/>
    <x v="7"/>
    <s v="Q2"/>
    <n v="2023"/>
    <s v="Siang (12-16)"/>
    <s v="Kopi Kapal Api"/>
    <x v="0"/>
    <n v="12000"/>
    <n v="6"/>
    <n v="0"/>
    <n v="72000"/>
    <n v="43650"/>
    <n v="28350"/>
    <n v="39.380000000000003"/>
    <x v="4"/>
    <s v="Rina"/>
    <x v="4"/>
    <x v="1"/>
    <n v="4"/>
  </r>
  <r>
    <x v="353"/>
    <d v="2023-08-29T00:00:00"/>
    <s v="Selasa"/>
    <x v="9"/>
    <s v="Q3"/>
    <n v="2023"/>
    <s v="Sore (16-20)"/>
    <s v="Kopi Kapal Api"/>
    <x v="0"/>
    <n v="12000"/>
    <n v="8"/>
    <n v="20"/>
    <n v="76800"/>
    <n v="49722"/>
    <n v="27078"/>
    <n v="35.26"/>
    <x v="0"/>
    <s v="Agus"/>
    <x v="1"/>
    <x v="0"/>
    <n v="4"/>
  </r>
  <r>
    <x v="354"/>
    <d v="2024-10-31T00:00:00"/>
    <s v="Kamis"/>
    <x v="0"/>
    <s v="Q4"/>
    <n v="2024"/>
    <s v="Sore (16-20)"/>
    <s v="Aqua 1.5L"/>
    <x v="0"/>
    <n v="5000"/>
    <n v="7"/>
    <n v="5"/>
    <n v="33250"/>
    <n v="18490"/>
    <n v="14760"/>
    <n v="44.39"/>
    <x v="3"/>
    <s v="Rina"/>
    <x v="0"/>
    <x v="0"/>
    <n v="4"/>
  </r>
  <r>
    <x v="355"/>
    <d v="2023-12-16T00:00:00"/>
    <s v="Sabtu"/>
    <x v="8"/>
    <s v="Q4"/>
    <n v="2023"/>
    <s v="Malam (20-22)"/>
    <s v="Sabun Lifebuoy"/>
    <x v="2"/>
    <n v="8000"/>
    <n v="4"/>
    <n v="20"/>
    <n v="25600"/>
    <n v="16058"/>
    <n v="9542"/>
    <n v="37.270000000000003"/>
    <x v="3"/>
    <s v="Dewi"/>
    <x v="4"/>
    <x v="1"/>
    <n v="4"/>
  </r>
  <r>
    <x v="356"/>
    <d v="2023-04-27T00:00:00"/>
    <s v="Kamis"/>
    <x v="1"/>
    <s v="Q2"/>
    <n v="2023"/>
    <s v="Sore (16-20)"/>
    <s v="Teh Botol"/>
    <x v="0"/>
    <n v="6000"/>
    <n v="1"/>
    <n v="0"/>
    <n v="6000"/>
    <n v="3662"/>
    <n v="2338"/>
    <n v="38.97"/>
    <x v="4"/>
    <s v="Dewi"/>
    <x v="4"/>
    <x v="0"/>
    <n v="1"/>
  </r>
  <r>
    <x v="357"/>
    <d v="2023-06-18T00:00:00"/>
    <s v="Minggu"/>
    <x v="7"/>
    <s v="Q2"/>
    <n v="2023"/>
    <s v="Malam (20-22)"/>
    <s v="Saos Sambal"/>
    <x v="4"/>
    <n v="10000"/>
    <n v="7"/>
    <n v="0"/>
    <n v="70000"/>
    <n v="41526"/>
    <n v="28474"/>
    <n v="40.68"/>
    <x v="1"/>
    <s v="Budi"/>
    <x v="0"/>
    <x v="0"/>
    <n v="4"/>
  </r>
  <r>
    <x v="358"/>
    <d v="2023-07-15T00:00:00"/>
    <s v="Sabtu"/>
    <x v="4"/>
    <s v="Q3"/>
    <n v="2023"/>
    <s v="Malam (20-22)"/>
    <s v="Sabun Lifebuoy"/>
    <x v="2"/>
    <n v="8000"/>
    <n v="7"/>
    <n v="0"/>
    <n v="56000"/>
    <n v="39621"/>
    <n v="16379"/>
    <n v="29.25"/>
    <x v="3"/>
    <s v="Rina"/>
    <x v="1"/>
    <x v="0"/>
    <n v="4"/>
  </r>
  <r>
    <x v="359"/>
    <d v="2023-01-05T00:00:00"/>
    <s v="Kamis"/>
    <x v="2"/>
    <s v="Q1"/>
    <n v="2023"/>
    <s v="Siang (12-16)"/>
    <s v="Pelembab Vaseline"/>
    <x v="3"/>
    <n v="25000"/>
    <n v="9"/>
    <n v="5"/>
    <n v="213750"/>
    <n v="148043"/>
    <n v="65707"/>
    <n v="30.74"/>
    <x v="2"/>
    <s v="Dewi"/>
    <x v="3"/>
    <x v="0"/>
    <n v="1"/>
  </r>
  <r>
    <x v="360"/>
    <d v="2024-02-01T00:00:00"/>
    <s v="Kamis"/>
    <x v="5"/>
    <s v="Q1"/>
    <n v="2024"/>
    <s v="Sore (16-20)"/>
    <s v="Kapas Kecantikan"/>
    <x v="3"/>
    <n v="8000"/>
    <n v="6"/>
    <n v="10"/>
    <n v="43200"/>
    <n v="30233"/>
    <n v="12967"/>
    <n v="30.02"/>
    <x v="2"/>
    <s v="Dewi"/>
    <x v="3"/>
    <x v="1"/>
    <n v="3"/>
  </r>
  <r>
    <x v="361"/>
    <d v="2023-10-29T00:00:00"/>
    <s v="Minggu"/>
    <x v="0"/>
    <s v="Q4"/>
    <n v="2023"/>
    <s v="Sore (16-20)"/>
    <s v="Saos Sambal"/>
    <x v="4"/>
    <n v="10000"/>
    <n v="3"/>
    <n v="5"/>
    <n v="28500"/>
    <n v="18594"/>
    <n v="9906"/>
    <n v="34.76"/>
    <x v="3"/>
    <s v="Siti"/>
    <x v="4"/>
    <x v="0"/>
    <n v="2"/>
  </r>
  <r>
    <x v="362"/>
    <d v="2023-08-03T00:00:00"/>
    <s v="Kamis"/>
    <x v="9"/>
    <s v="Q3"/>
    <n v="2023"/>
    <s v="Sore (16-20)"/>
    <s v="Lip Balm Nivea"/>
    <x v="3"/>
    <n v="18000"/>
    <n v="6"/>
    <n v="15"/>
    <n v="91800"/>
    <n v="52560"/>
    <n v="39240"/>
    <n v="42.75"/>
    <x v="1"/>
    <s v="Dewi"/>
    <x v="4"/>
    <x v="0"/>
    <n v="3"/>
  </r>
  <r>
    <x v="363"/>
    <d v="2024-07-29T00:00:00"/>
    <s v="Senin"/>
    <x v="4"/>
    <s v="Q3"/>
    <n v="2024"/>
    <s v="Pagi (08-12)"/>
    <s v="Gula Pasir 1kg"/>
    <x v="4"/>
    <n v="16000"/>
    <n v="10"/>
    <n v="15"/>
    <n v="136000"/>
    <n v="91218"/>
    <n v="44782"/>
    <n v="32.93"/>
    <x v="3"/>
    <s v="Siti"/>
    <x v="1"/>
    <x v="0"/>
    <n v="1"/>
  </r>
  <r>
    <x v="364"/>
    <d v="2024-01-26T00:00:00"/>
    <s v="Jumat"/>
    <x v="2"/>
    <s v="Q1"/>
    <n v="2024"/>
    <s v="Siang (12-16)"/>
    <s v="Chitato"/>
    <x v="1"/>
    <n v="12000"/>
    <n v="1"/>
    <n v="0"/>
    <n v="12000"/>
    <n v="7145"/>
    <n v="4855"/>
    <n v="40.46"/>
    <x v="1"/>
    <s v="Siti"/>
    <x v="2"/>
    <x v="0"/>
    <n v="3"/>
  </r>
  <r>
    <x v="365"/>
    <d v="2023-07-28T00:00:00"/>
    <s v="Jumat"/>
    <x v="4"/>
    <s v="Q3"/>
    <n v="2023"/>
    <s v="Malam (20-22)"/>
    <s v="Pelembab Vaseline"/>
    <x v="3"/>
    <n v="25000"/>
    <n v="6"/>
    <n v="20"/>
    <n v="120000"/>
    <n v="75233"/>
    <n v="44767"/>
    <n v="37.31"/>
    <x v="3"/>
    <s v="Dewi"/>
    <x v="3"/>
    <x v="0"/>
    <n v="5"/>
  </r>
  <r>
    <x v="366"/>
    <d v="2024-12-13T00:00:00"/>
    <s v="Jumat"/>
    <x v="8"/>
    <s v="Q4"/>
    <n v="2024"/>
    <s v="Pagi (08-12)"/>
    <s v="Sabun Lifebuoy"/>
    <x v="2"/>
    <n v="8000"/>
    <n v="7"/>
    <n v="5"/>
    <n v="53200"/>
    <n v="33027"/>
    <n v="20173"/>
    <n v="37.92"/>
    <x v="4"/>
    <s v="Dewi"/>
    <x v="0"/>
    <x v="1"/>
    <n v="2"/>
  </r>
  <r>
    <x v="367"/>
    <d v="2024-09-27T00:00:00"/>
    <s v="Jumat"/>
    <x v="6"/>
    <s v="Q3"/>
    <n v="2024"/>
    <s v="Sore (16-20)"/>
    <s v="Saos Sambal"/>
    <x v="4"/>
    <n v="10000"/>
    <n v="6"/>
    <n v="20"/>
    <n v="48000"/>
    <n v="31201"/>
    <n v="16799"/>
    <n v="35"/>
    <x v="3"/>
    <s v="Budi"/>
    <x v="3"/>
    <x v="1"/>
    <n v="2"/>
  </r>
  <r>
    <x v="368"/>
    <d v="2024-11-30T00:00:00"/>
    <s v="Sabtu"/>
    <x v="10"/>
    <s v="Q4"/>
    <n v="2024"/>
    <s v="Sore (16-20)"/>
    <s v="Teh Botol"/>
    <x v="0"/>
    <n v="6000"/>
    <n v="3"/>
    <n v="15"/>
    <n v="15300"/>
    <n v="9752"/>
    <n v="5548"/>
    <n v="36.26"/>
    <x v="2"/>
    <s v="Rina"/>
    <x v="1"/>
    <x v="1"/>
    <n v="2"/>
  </r>
  <r>
    <x v="369"/>
    <d v="2023-06-14T00:00:00"/>
    <s v="Rabu"/>
    <x v="7"/>
    <s v="Q2"/>
    <n v="2023"/>
    <s v="Sore (16-20)"/>
    <s v="Lip Balm Nivea"/>
    <x v="3"/>
    <n v="18000"/>
    <n v="1"/>
    <n v="0"/>
    <n v="18000"/>
    <n v="11327"/>
    <n v="6673"/>
    <n v="37.07"/>
    <x v="1"/>
    <s v="Rina"/>
    <x v="3"/>
    <x v="0"/>
    <n v="5"/>
  </r>
  <r>
    <x v="370"/>
    <d v="2024-11-08T00:00:00"/>
    <s v="Jumat"/>
    <x v="10"/>
    <s v="Q4"/>
    <n v="2024"/>
    <s v="Siang (12-16)"/>
    <s v="Deterjen Rinso"/>
    <x v="2"/>
    <n v="22000"/>
    <n v="10"/>
    <n v="10"/>
    <n v="198000"/>
    <n v="120953"/>
    <n v="77047"/>
    <n v="38.909999999999997"/>
    <x v="4"/>
    <s v="Dewi"/>
    <x v="3"/>
    <x v="0"/>
    <n v="5"/>
  </r>
  <r>
    <x v="371"/>
    <d v="2023-06-13T00:00:00"/>
    <s v="Selasa"/>
    <x v="7"/>
    <s v="Q2"/>
    <n v="2023"/>
    <s v="Sore (16-20)"/>
    <s v="Gula Pasir 1kg"/>
    <x v="4"/>
    <n v="16000"/>
    <n v="9"/>
    <n v="5"/>
    <n v="136800"/>
    <n v="77378"/>
    <n v="59422"/>
    <n v="43.44"/>
    <x v="1"/>
    <s v="Budi"/>
    <x v="2"/>
    <x v="1"/>
    <n v="3"/>
  </r>
  <r>
    <x v="372"/>
    <d v="2023-08-12T00:00:00"/>
    <s v="Sabtu"/>
    <x v="9"/>
    <s v="Q3"/>
    <n v="2023"/>
    <s v="Malam (20-22)"/>
    <s v="Kapas Kecantikan"/>
    <x v="3"/>
    <n v="8000"/>
    <n v="8"/>
    <n v="10"/>
    <n v="57600"/>
    <n v="39746"/>
    <n v="17854"/>
    <n v="31"/>
    <x v="0"/>
    <s v="Rina"/>
    <x v="2"/>
    <x v="0"/>
    <n v="5"/>
  </r>
  <r>
    <x v="373"/>
    <d v="2024-09-28T00:00:00"/>
    <s v="Sabtu"/>
    <x v="6"/>
    <s v="Q3"/>
    <n v="2024"/>
    <s v="Sore (16-20)"/>
    <s v="Chitato"/>
    <x v="1"/>
    <n v="12000"/>
    <n v="6"/>
    <n v="5"/>
    <n v="68400"/>
    <n v="48270"/>
    <n v="20130"/>
    <n v="29.43"/>
    <x v="0"/>
    <s v="Agus"/>
    <x v="2"/>
    <x v="0"/>
    <n v="5"/>
  </r>
  <r>
    <x v="374"/>
    <d v="2024-01-19T00:00:00"/>
    <s v="Jumat"/>
    <x v="2"/>
    <s v="Q1"/>
    <n v="2024"/>
    <s v="Pagi (08-12)"/>
    <s v="Kapas Kecantikan"/>
    <x v="3"/>
    <n v="8000"/>
    <n v="8"/>
    <n v="5"/>
    <n v="60800"/>
    <n v="33893"/>
    <n v="26907"/>
    <n v="44.25"/>
    <x v="1"/>
    <s v="Siti"/>
    <x v="4"/>
    <x v="0"/>
    <n v="2"/>
  </r>
  <r>
    <x v="375"/>
    <d v="2024-07-04T00:00:00"/>
    <s v="Kamis"/>
    <x v="4"/>
    <s v="Q3"/>
    <n v="2024"/>
    <s v="Siang (12-16)"/>
    <s v="Pelembab Vaseline"/>
    <x v="3"/>
    <n v="25000"/>
    <n v="2"/>
    <n v="0"/>
    <n v="50000"/>
    <n v="33198"/>
    <n v="16802"/>
    <n v="33.6"/>
    <x v="1"/>
    <s v="Agus"/>
    <x v="0"/>
    <x v="1"/>
    <n v="1"/>
  </r>
  <r>
    <x v="376"/>
    <d v="2024-12-03T00:00:00"/>
    <s v="Selasa"/>
    <x v="8"/>
    <s v="Q4"/>
    <n v="2024"/>
    <s v="Siang (12-16)"/>
    <s v="Chitato"/>
    <x v="1"/>
    <n v="12000"/>
    <n v="8"/>
    <n v="15"/>
    <n v="81600"/>
    <n v="49482"/>
    <n v="32118"/>
    <n v="39.36"/>
    <x v="0"/>
    <s v="Rina"/>
    <x v="0"/>
    <x v="1"/>
    <n v="5"/>
  </r>
  <r>
    <x v="377"/>
    <d v="2023-03-14T00:00:00"/>
    <s v="Selasa"/>
    <x v="3"/>
    <s v="Q1"/>
    <n v="2023"/>
    <s v="Pagi (08-12)"/>
    <s v="Deodorant Rexona"/>
    <x v="3"/>
    <n v="20000"/>
    <n v="5"/>
    <n v="5"/>
    <n v="95000"/>
    <n v="58517"/>
    <n v="36483"/>
    <n v="38.4"/>
    <x v="2"/>
    <s v="Agus"/>
    <x v="2"/>
    <x v="1"/>
    <n v="1"/>
  </r>
  <r>
    <x v="378"/>
    <d v="2024-07-01T00:00:00"/>
    <s v="Senin"/>
    <x v="4"/>
    <s v="Q3"/>
    <n v="2024"/>
    <s v="Pagi (08-12)"/>
    <s v="Susu Ultra"/>
    <x v="0"/>
    <n v="9000"/>
    <n v="2"/>
    <n v="20"/>
    <n v="14400"/>
    <n v="9746"/>
    <n v="4654"/>
    <n v="32.32"/>
    <x v="0"/>
    <s v="Rina"/>
    <x v="2"/>
    <x v="1"/>
    <n v="3"/>
  </r>
  <r>
    <x v="379"/>
    <d v="2024-09-13T00:00:00"/>
    <s v="Jumat"/>
    <x v="6"/>
    <s v="Q3"/>
    <n v="2024"/>
    <s v="Siang (12-16)"/>
    <s v="Pocari Sweat"/>
    <x v="0"/>
    <n v="8000"/>
    <n v="8"/>
    <n v="5"/>
    <n v="60800"/>
    <n v="37524"/>
    <n v="23276"/>
    <n v="38.28"/>
    <x v="0"/>
    <s v="Agus"/>
    <x v="3"/>
    <x v="0"/>
    <n v="4"/>
  </r>
  <r>
    <x v="380"/>
    <d v="2024-07-12T00:00:00"/>
    <s v="Jumat"/>
    <x v="4"/>
    <s v="Q3"/>
    <n v="2024"/>
    <s v="Siang (12-16)"/>
    <s v="Shampo Sunsilk"/>
    <x v="2"/>
    <n v="15000"/>
    <n v="5"/>
    <n v="15"/>
    <n v="63750"/>
    <n v="44675"/>
    <n v="19075"/>
    <n v="29.92"/>
    <x v="4"/>
    <s v="Rina"/>
    <x v="4"/>
    <x v="0"/>
    <n v="1"/>
  </r>
  <r>
    <x v="381"/>
    <d v="2023-01-06T00:00:00"/>
    <s v="Jumat"/>
    <x v="2"/>
    <s v="Q1"/>
    <n v="2023"/>
    <s v="Sore (16-20)"/>
    <s v="Kapas Kecantikan"/>
    <x v="3"/>
    <n v="8000"/>
    <n v="7"/>
    <n v="10"/>
    <n v="50400"/>
    <n v="32411"/>
    <n v="17989"/>
    <n v="35.69"/>
    <x v="0"/>
    <s v="Siti"/>
    <x v="3"/>
    <x v="0"/>
    <n v="4"/>
  </r>
  <r>
    <x v="382"/>
    <d v="2024-10-23T00:00:00"/>
    <s v="Rabu"/>
    <x v="0"/>
    <s v="Q4"/>
    <n v="2024"/>
    <s v="Siang (12-16)"/>
    <s v="Deodorant Rexona"/>
    <x v="3"/>
    <n v="20000"/>
    <n v="3"/>
    <n v="0"/>
    <n v="60000"/>
    <n v="35252"/>
    <n v="24748"/>
    <n v="41.25"/>
    <x v="4"/>
    <s v="Budi"/>
    <x v="0"/>
    <x v="0"/>
    <n v="5"/>
  </r>
  <r>
    <x v="383"/>
    <d v="2024-04-17T00:00:00"/>
    <s v="Rabu"/>
    <x v="1"/>
    <s v="Q2"/>
    <n v="2024"/>
    <s v="Malam (20-22)"/>
    <s v="Pelembab Vaseline"/>
    <x v="3"/>
    <n v="25000"/>
    <n v="5"/>
    <n v="15"/>
    <n v="106250"/>
    <n v="59654"/>
    <n v="46596"/>
    <n v="43.86"/>
    <x v="0"/>
    <s v="Budi"/>
    <x v="4"/>
    <x v="1"/>
    <n v="3"/>
  </r>
  <r>
    <x v="384"/>
    <d v="2023-05-12T00:00:00"/>
    <s v="Jumat"/>
    <x v="11"/>
    <s v="Q2"/>
    <n v="2023"/>
    <s v="Malam (20-22)"/>
    <s v="Chitato"/>
    <x v="1"/>
    <n v="12000"/>
    <n v="5"/>
    <n v="10"/>
    <n v="54000"/>
    <n v="30341"/>
    <n v="23659"/>
    <n v="43.81"/>
    <x v="1"/>
    <s v="Siti"/>
    <x v="1"/>
    <x v="1"/>
    <n v="5"/>
  </r>
  <r>
    <x v="385"/>
    <d v="2024-11-06T00:00:00"/>
    <s v="Rabu"/>
    <x v="10"/>
    <s v="Q4"/>
    <n v="2024"/>
    <s v="Pagi (08-12)"/>
    <s v="Softex"/>
    <x v="2"/>
    <n v="18000"/>
    <n v="3"/>
    <n v="10"/>
    <n v="48600"/>
    <n v="31413"/>
    <n v="17187"/>
    <n v="35.36"/>
    <x v="4"/>
    <s v="Agus"/>
    <x v="3"/>
    <x v="1"/>
    <n v="2"/>
  </r>
  <r>
    <x v="386"/>
    <d v="2023-08-15T00:00:00"/>
    <s v="Selasa"/>
    <x v="9"/>
    <s v="Q3"/>
    <n v="2023"/>
    <s v="Malam (20-22)"/>
    <s v="Royco Ayam"/>
    <x v="4"/>
    <n v="5000"/>
    <n v="6"/>
    <n v="0"/>
    <n v="30000"/>
    <n v="19966"/>
    <n v="10034"/>
    <n v="33.450000000000003"/>
    <x v="4"/>
    <s v="Agus"/>
    <x v="1"/>
    <x v="1"/>
    <n v="3"/>
  </r>
  <r>
    <x v="387"/>
    <d v="2024-05-13T00:00:00"/>
    <s v="Senin"/>
    <x v="11"/>
    <s v="Q2"/>
    <n v="2024"/>
    <s v="Siang (12-16)"/>
    <s v="Pelembab Vaseline"/>
    <x v="3"/>
    <n v="25000"/>
    <n v="3"/>
    <n v="15"/>
    <n v="63750"/>
    <n v="41637"/>
    <n v="22113"/>
    <n v="34.69"/>
    <x v="4"/>
    <s v="Budi"/>
    <x v="4"/>
    <x v="1"/>
    <n v="1"/>
  </r>
  <r>
    <x v="388"/>
    <d v="2023-03-19T00:00:00"/>
    <s v="Minggu"/>
    <x v="3"/>
    <s v="Q1"/>
    <n v="2023"/>
    <s v="Pagi (08-12)"/>
    <s v="Susu Ultra"/>
    <x v="0"/>
    <n v="9000"/>
    <n v="1"/>
    <n v="20"/>
    <n v="7200"/>
    <n v="4672"/>
    <n v="2528"/>
    <n v="35.11"/>
    <x v="2"/>
    <s v="Dewi"/>
    <x v="3"/>
    <x v="1"/>
    <n v="5"/>
  </r>
  <r>
    <x v="389"/>
    <d v="2024-07-06T00:00:00"/>
    <s v="Sabtu"/>
    <x v="4"/>
    <s v="Q3"/>
    <n v="2024"/>
    <s v="Malam (20-22)"/>
    <s v="Saos Sambal"/>
    <x v="4"/>
    <n v="10000"/>
    <n v="6"/>
    <n v="5"/>
    <n v="57000"/>
    <n v="33514"/>
    <n v="23486"/>
    <n v="41.2"/>
    <x v="3"/>
    <s v="Siti"/>
    <x v="3"/>
    <x v="0"/>
    <n v="4"/>
  </r>
  <r>
    <x v="390"/>
    <d v="2024-01-08T00:00:00"/>
    <s v="Senin"/>
    <x v="2"/>
    <s v="Q1"/>
    <n v="2024"/>
    <s v="Siang (12-16)"/>
    <s v="Pelembab Vaseline"/>
    <x v="3"/>
    <n v="25000"/>
    <n v="4"/>
    <n v="20"/>
    <n v="80000"/>
    <n v="57110"/>
    <n v="22890"/>
    <n v="28.61"/>
    <x v="3"/>
    <s v="Budi"/>
    <x v="4"/>
    <x v="1"/>
    <n v="2"/>
  </r>
  <r>
    <x v="391"/>
    <d v="2023-07-03T00:00:00"/>
    <s v="Senin"/>
    <x v="4"/>
    <s v="Q3"/>
    <n v="2023"/>
    <s v="Malam (20-22)"/>
    <s v="Kapas Kecantikan"/>
    <x v="3"/>
    <n v="8000"/>
    <n v="3"/>
    <n v="15"/>
    <n v="20400"/>
    <n v="13759"/>
    <n v="6641"/>
    <n v="32.549999999999997"/>
    <x v="4"/>
    <s v="Rina"/>
    <x v="3"/>
    <x v="0"/>
    <n v="1"/>
  </r>
  <r>
    <x v="392"/>
    <d v="2023-09-28T00:00:00"/>
    <s v="Kamis"/>
    <x v="6"/>
    <s v="Q3"/>
    <n v="2023"/>
    <s v="Malam (20-22)"/>
    <s v="Shampo Sunsilk"/>
    <x v="2"/>
    <n v="15000"/>
    <n v="1"/>
    <n v="15"/>
    <n v="12750"/>
    <n v="7461"/>
    <n v="5289"/>
    <n v="41.48"/>
    <x v="4"/>
    <s v="Agus"/>
    <x v="1"/>
    <x v="0"/>
    <n v="1"/>
  </r>
  <r>
    <x v="393"/>
    <d v="2024-10-26T00:00:00"/>
    <s v="Sabtu"/>
    <x v="0"/>
    <s v="Q4"/>
    <n v="2024"/>
    <s v="Siang (12-16)"/>
    <s v="Sabun Lifebuoy"/>
    <x v="2"/>
    <n v="8000"/>
    <n v="9"/>
    <n v="15"/>
    <n v="61200"/>
    <n v="42292"/>
    <n v="18908"/>
    <n v="30.9"/>
    <x v="4"/>
    <s v="Dewi"/>
    <x v="4"/>
    <x v="1"/>
    <n v="4"/>
  </r>
  <r>
    <x v="394"/>
    <d v="2024-01-10T00:00:00"/>
    <s v="Rabu"/>
    <x v="2"/>
    <s v="Q1"/>
    <n v="2024"/>
    <s v="Sore (16-20)"/>
    <s v="Pelembab Vaseline"/>
    <x v="3"/>
    <n v="25000"/>
    <n v="9"/>
    <n v="0"/>
    <n v="225000"/>
    <n v="138145"/>
    <n v="86855"/>
    <n v="38.6"/>
    <x v="1"/>
    <s v="Dewi"/>
    <x v="1"/>
    <x v="1"/>
    <n v="4"/>
  </r>
  <r>
    <x v="395"/>
    <d v="2024-05-08T00:00:00"/>
    <s v="Rabu"/>
    <x v="11"/>
    <s v="Q2"/>
    <n v="2024"/>
    <s v="Sore (16-20)"/>
    <s v="Pelembab Vaseline"/>
    <x v="3"/>
    <n v="25000"/>
    <n v="9"/>
    <n v="0"/>
    <n v="225000"/>
    <n v="140576"/>
    <n v="84424"/>
    <n v="37.520000000000003"/>
    <x v="1"/>
    <s v="Rina"/>
    <x v="4"/>
    <x v="0"/>
    <n v="2"/>
  </r>
  <r>
    <x v="396"/>
    <d v="2023-07-11T00:00:00"/>
    <s v="Selasa"/>
    <x v="4"/>
    <s v="Q3"/>
    <n v="2023"/>
    <s v="Pagi (08-12)"/>
    <s v="Qtela"/>
    <x v="1"/>
    <n v="14000"/>
    <n v="10"/>
    <n v="15"/>
    <n v="119000"/>
    <n v="81977"/>
    <n v="37023"/>
    <n v="31.11"/>
    <x v="1"/>
    <s v="Agus"/>
    <x v="2"/>
    <x v="1"/>
    <n v="4"/>
  </r>
  <r>
    <x v="397"/>
    <d v="2024-05-05T00:00:00"/>
    <s v="Minggu"/>
    <x v="11"/>
    <s v="Q2"/>
    <n v="2024"/>
    <s v="Siang (12-16)"/>
    <s v="Cheetos"/>
    <x v="1"/>
    <n v="11000"/>
    <n v="3"/>
    <n v="15"/>
    <n v="28050"/>
    <n v="19401"/>
    <n v="8649"/>
    <n v="30.83"/>
    <x v="0"/>
    <s v="Budi"/>
    <x v="0"/>
    <x v="0"/>
    <n v="2"/>
  </r>
  <r>
    <x v="398"/>
    <d v="2024-10-06T00:00:00"/>
    <s v="Minggu"/>
    <x v="0"/>
    <s v="Q4"/>
    <n v="2024"/>
    <s v="Malam (20-22)"/>
    <s v="Pelembab Vaseline"/>
    <x v="3"/>
    <n v="25000"/>
    <n v="10"/>
    <n v="0"/>
    <n v="250000"/>
    <n v="139876"/>
    <n v="110124"/>
    <n v="44.05"/>
    <x v="4"/>
    <s v="Budi"/>
    <x v="4"/>
    <x v="0"/>
    <n v="3"/>
  </r>
  <r>
    <x v="399"/>
    <d v="2023-03-29T00:00:00"/>
    <s v="Rabu"/>
    <x v="3"/>
    <s v="Q1"/>
    <n v="2023"/>
    <s v="Siang (12-16)"/>
    <s v="Indomie Goreng"/>
    <x v="1"/>
    <n v="3500"/>
    <n v="10"/>
    <n v="5"/>
    <n v="33250"/>
    <n v="23190"/>
    <n v="10060"/>
    <n v="30.26"/>
    <x v="1"/>
    <s v="Budi"/>
    <x v="1"/>
    <x v="0"/>
    <n v="5"/>
  </r>
  <r>
    <x v="400"/>
    <d v="2024-11-06T00:00:00"/>
    <s v="Rabu"/>
    <x v="10"/>
    <s v="Q4"/>
    <n v="2024"/>
    <s v="Pagi (08-12)"/>
    <s v="Lip Balm Nivea"/>
    <x v="3"/>
    <n v="18000"/>
    <n v="3"/>
    <n v="15"/>
    <n v="45900"/>
    <n v="30595"/>
    <n v="15305"/>
    <n v="33.340000000000003"/>
    <x v="2"/>
    <s v="Dewi"/>
    <x v="4"/>
    <x v="0"/>
    <n v="4"/>
  </r>
  <r>
    <x v="401"/>
    <d v="2024-01-30T00:00:00"/>
    <s v="Selasa"/>
    <x v="2"/>
    <s v="Q1"/>
    <n v="2024"/>
    <s v="Pagi (08-12)"/>
    <s v="Chitato"/>
    <x v="1"/>
    <n v="12000"/>
    <n v="1"/>
    <n v="0"/>
    <n v="12000"/>
    <n v="7666"/>
    <n v="4334"/>
    <n v="36.119999999999997"/>
    <x v="3"/>
    <s v="Agus"/>
    <x v="3"/>
    <x v="0"/>
    <n v="4"/>
  </r>
  <r>
    <x v="402"/>
    <d v="2024-09-21T00:00:00"/>
    <s v="Sabtu"/>
    <x v="6"/>
    <s v="Q3"/>
    <n v="2024"/>
    <s v="Pagi (08-12)"/>
    <s v="Pelembab Vaseline"/>
    <x v="3"/>
    <n v="25000"/>
    <n v="9"/>
    <n v="10"/>
    <n v="202500"/>
    <n v="137276"/>
    <n v="65224"/>
    <n v="32.21"/>
    <x v="0"/>
    <s v="Agus"/>
    <x v="3"/>
    <x v="1"/>
    <n v="5"/>
  </r>
  <r>
    <x v="403"/>
    <d v="2024-03-06T00:00:00"/>
    <s v="Rabu"/>
    <x v="3"/>
    <s v="Q1"/>
    <n v="2024"/>
    <s v="Pagi (08-12)"/>
    <s v="Sabun Lifebuoy"/>
    <x v="2"/>
    <n v="8000"/>
    <n v="9"/>
    <n v="5"/>
    <n v="68400"/>
    <n v="40288"/>
    <n v="28112"/>
    <n v="41.1"/>
    <x v="2"/>
    <s v="Agus"/>
    <x v="2"/>
    <x v="1"/>
    <n v="2"/>
  </r>
  <r>
    <x v="404"/>
    <d v="2023-09-18T00:00:00"/>
    <s v="Senin"/>
    <x v="6"/>
    <s v="Q3"/>
    <n v="2023"/>
    <s v="Siang (12-16)"/>
    <s v="Saos Sambal"/>
    <x v="4"/>
    <n v="10000"/>
    <n v="2"/>
    <n v="0"/>
    <n v="20000"/>
    <n v="13034"/>
    <n v="6966"/>
    <n v="34.83"/>
    <x v="3"/>
    <s v="Agus"/>
    <x v="2"/>
    <x v="0"/>
    <n v="1"/>
  </r>
  <r>
    <x v="405"/>
    <d v="2024-08-14T00:00:00"/>
    <s v="Rabu"/>
    <x v="9"/>
    <s v="Q3"/>
    <n v="2024"/>
    <s v="Sore (16-20)"/>
    <s v="Pelembab Vaseline"/>
    <x v="3"/>
    <n v="25000"/>
    <n v="9"/>
    <n v="0"/>
    <n v="225000"/>
    <n v="138095"/>
    <n v="86905"/>
    <n v="38.619999999999997"/>
    <x v="1"/>
    <s v="Siti"/>
    <x v="1"/>
    <x v="0"/>
    <n v="2"/>
  </r>
  <r>
    <x v="406"/>
    <d v="2024-03-12T00:00:00"/>
    <s v="Selasa"/>
    <x v="3"/>
    <s v="Q1"/>
    <n v="2024"/>
    <s v="Sore (16-20)"/>
    <s v="Lip Balm Nivea"/>
    <x v="3"/>
    <n v="18000"/>
    <n v="5"/>
    <n v="20"/>
    <n v="72000"/>
    <n v="46162"/>
    <n v="25838"/>
    <n v="35.89"/>
    <x v="3"/>
    <s v="Siti"/>
    <x v="4"/>
    <x v="1"/>
    <n v="2"/>
  </r>
  <r>
    <x v="407"/>
    <d v="2024-02-28T00:00:00"/>
    <s v="Rabu"/>
    <x v="5"/>
    <s v="Q1"/>
    <n v="2024"/>
    <s v="Sore (16-20)"/>
    <s v="Kapas Kecantikan"/>
    <x v="3"/>
    <n v="8000"/>
    <n v="8"/>
    <n v="0"/>
    <n v="64000"/>
    <n v="39228"/>
    <n v="24772"/>
    <n v="38.71"/>
    <x v="3"/>
    <s v="Agus"/>
    <x v="2"/>
    <x v="1"/>
    <n v="4"/>
  </r>
  <r>
    <x v="408"/>
    <d v="2023-05-22T00:00:00"/>
    <s v="Senin"/>
    <x v="11"/>
    <s v="Q2"/>
    <n v="2023"/>
    <s v="Malam (20-22)"/>
    <s v="Teh Botol"/>
    <x v="0"/>
    <n v="6000"/>
    <n v="8"/>
    <n v="20"/>
    <n v="38400"/>
    <n v="25685"/>
    <n v="12715"/>
    <n v="33.11"/>
    <x v="1"/>
    <s v="Rina"/>
    <x v="3"/>
    <x v="1"/>
    <n v="5"/>
  </r>
  <r>
    <x v="409"/>
    <d v="2024-09-20T00:00:00"/>
    <s v="Jumat"/>
    <x v="6"/>
    <s v="Q3"/>
    <n v="2024"/>
    <s v="Malam (20-22)"/>
    <s v="Teh Botol"/>
    <x v="0"/>
    <n v="6000"/>
    <n v="7"/>
    <n v="15"/>
    <n v="35700"/>
    <n v="19667"/>
    <n v="16033"/>
    <n v="44.91"/>
    <x v="0"/>
    <s v="Budi"/>
    <x v="1"/>
    <x v="0"/>
    <n v="1"/>
  </r>
  <r>
    <x v="410"/>
    <d v="2023-09-27T00:00:00"/>
    <s v="Rabu"/>
    <x v="6"/>
    <s v="Q3"/>
    <n v="2023"/>
    <s v="Sore (16-20)"/>
    <s v="Qtela"/>
    <x v="1"/>
    <n v="14000"/>
    <n v="2"/>
    <n v="10"/>
    <n v="25200"/>
    <n v="14022"/>
    <n v="11178"/>
    <n v="44.36"/>
    <x v="2"/>
    <s v="Agus"/>
    <x v="4"/>
    <x v="0"/>
    <n v="2"/>
  </r>
  <r>
    <x v="411"/>
    <d v="2024-10-17T00:00:00"/>
    <s v="Kamis"/>
    <x v="0"/>
    <s v="Q4"/>
    <n v="2024"/>
    <s v="Pagi (08-12)"/>
    <s v="Sania Minyak Goreng"/>
    <x v="4"/>
    <n v="28000"/>
    <n v="1"/>
    <n v="0"/>
    <n v="28000"/>
    <n v="19449"/>
    <n v="8551"/>
    <n v="30.54"/>
    <x v="3"/>
    <s v="Siti"/>
    <x v="3"/>
    <x v="0"/>
    <n v="5"/>
  </r>
  <r>
    <x v="412"/>
    <d v="2023-06-23T00:00:00"/>
    <s v="Jumat"/>
    <x v="7"/>
    <s v="Q2"/>
    <n v="2023"/>
    <s v="Malam (20-22)"/>
    <s v="Pocari Sweat"/>
    <x v="0"/>
    <n v="8000"/>
    <n v="4"/>
    <n v="15"/>
    <n v="27200"/>
    <n v="14961"/>
    <n v="12239"/>
    <n v="45"/>
    <x v="1"/>
    <s v="Rina"/>
    <x v="2"/>
    <x v="1"/>
    <n v="4"/>
  </r>
  <r>
    <x v="413"/>
    <d v="2024-02-20T00:00:00"/>
    <s v="Selasa"/>
    <x v="5"/>
    <s v="Q1"/>
    <n v="2024"/>
    <s v="Sore (16-20)"/>
    <s v="Deodorant Rexona"/>
    <x v="3"/>
    <n v="20000"/>
    <n v="9"/>
    <n v="0"/>
    <n v="180000"/>
    <n v="121550"/>
    <n v="58450"/>
    <n v="32.47"/>
    <x v="0"/>
    <s v="Rina"/>
    <x v="4"/>
    <x v="1"/>
    <n v="3"/>
  </r>
  <r>
    <x v="414"/>
    <d v="2023-10-11T00:00:00"/>
    <s v="Rabu"/>
    <x v="0"/>
    <s v="Q4"/>
    <n v="2023"/>
    <s v="Siang (12-16)"/>
    <s v="Cheetos"/>
    <x v="1"/>
    <n v="11000"/>
    <n v="4"/>
    <n v="5"/>
    <n v="41800"/>
    <n v="29597"/>
    <n v="12203"/>
    <n v="29.19"/>
    <x v="3"/>
    <s v="Rina"/>
    <x v="2"/>
    <x v="1"/>
    <n v="5"/>
  </r>
  <r>
    <x v="415"/>
    <d v="2023-04-20T00:00:00"/>
    <s v="Kamis"/>
    <x v="1"/>
    <s v="Q2"/>
    <n v="2023"/>
    <s v="Sore (16-20)"/>
    <s v="Pelembab Vaseline"/>
    <x v="3"/>
    <n v="25000"/>
    <n v="9"/>
    <n v="0"/>
    <n v="225000"/>
    <n v="136754"/>
    <n v="88246"/>
    <n v="39.22"/>
    <x v="0"/>
    <s v="Dewi"/>
    <x v="2"/>
    <x v="1"/>
    <n v="4"/>
  </r>
  <r>
    <x v="416"/>
    <d v="2024-07-30T00:00:00"/>
    <s v="Selasa"/>
    <x v="4"/>
    <s v="Q3"/>
    <n v="2024"/>
    <s v="Malam (20-22)"/>
    <s v="Saos Sambal"/>
    <x v="4"/>
    <n v="10000"/>
    <n v="6"/>
    <n v="20"/>
    <n v="48000"/>
    <n v="30144"/>
    <n v="17856"/>
    <n v="37.200000000000003"/>
    <x v="2"/>
    <s v="Dewi"/>
    <x v="0"/>
    <x v="0"/>
    <n v="3"/>
  </r>
  <r>
    <x v="417"/>
    <d v="2023-03-11T00:00:00"/>
    <s v="Sabtu"/>
    <x v="3"/>
    <s v="Q1"/>
    <n v="2023"/>
    <s v="Pagi (08-12)"/>
    <s v="Saos Sambal"/>
    <x v="4"/>
    <n v="10000"/>
    <n v="4"/>
    <n v="20"/>
    <n v="32000"/>
    <n v="19318"/>
    <n v="12682"/>
    <n v="39.630000000000003"/>
    <x v="4"/>
    <s v="Dewi"/>
    <x v="4"/>
    <x v="1"/>
    <n v="2"/>
  </r>
  <r>
    <x v="418"/>
    <d v="2023-10-22T00:00:00"/>
    <s v="Minggu"/>
    <x v="0"/>
    <s v="Q4"/>
    <n v="2023"/>
    <s v="Sore (16-20)"/>
    <s v="Kopi Kapal Api"/>
    <x v="0"/>
    <n v="12000"/>
    <n v="6"/>
    <n v="0"/>
    <n v="72000"/>
    <n v="46388"/>
    <n v="25612"/>
    <n v="35.57"/>
    <x v="1"/>
    <s v="Agus"/>
    <x v="2"/>
    <x v="0"/>
    <n v="5"/>
  </r>
  <r>
    <x v="419"/>
    <d v="2023-10-03T00:00:00"/>
    <s v="Selasa"/>
    <x v="0"/>
    <s v="Q4"/>
    <n v="2023"/>
    <s v="Siang (12-16)"/>
    <s v="Oreo"/>
    <x v="1"/>
    <n v="10000"/>
    <n v="8"/>
    <n v="15"/>
    <n v="68000"/>
    <n v="39708"/>
    <n v="28292"/>
    <n v="41.61"/>
    <x v="1"/>
    <s v="Siti"/>
    <x v="3"/>
    <x v="0"/>
    <n v="2"/>
  </r>
  <r>
    <x v="420"/>
    <d v="2024-09-25T00:00:00"/>
    <s v="Rabu"/>
    <x v="6"/>
    <s v="Q3"/>
    <n v="2024"/>
    <s v="Pagi (08-12)"/>
    <s v="Shampo Sunsilk"/>
    <x v="2"/>
    <n v="15000"/>
    <n v="2"/>
    <n v="0"/>
    <n v="30000"/>
    <n v="21193"/>
    <n v="8807"/>
    <n v="29.36"/>
    <x v="2"/>
    <s v="Dewi"/>
    <x v="0"/>
    <x v="1"/>
    <n v="3"/>
  </r>
  <r>
    <x v="421"/>
    <d v="2024-09-27T00:00:00"/>
    <s v="Jumat"/>
    <x v="6"/>
    <s v="Q3"/>
    <n v="2024"/>
    <s v="Malam (20-22)"/>
    <s v="Deterjen Rinso"/>
    <x v="2"/>
    <n v="22000"/>
    <n v="10"/>
    <n v="20"/>
    <n v="176000"/>
    <n v="105020"/>
    <n v="70980"/>
    <n v="40.33"/>
    <x v="1"/>
    <s v="Dewi"/>
    <x v="2"/>
    <x v="0"/>
    <n v="5"/>
  </r>
  <r>
    <x v="422"/>
    <d v="2023-05-12T00:00:00"/>
    <s v="Jumat"/>
    <x v="11"/>
    <s v="Q2"/>
    <n v="2023"/>
    <s v="Malam (20-22)"/>
    <s v="Susu Ultra"/>
    <x v="0"/>
    <n v="9000"/>
    <n v="7"/>
    <n v="5"/>
    <n v="59850"/>
    <n v="42478"/>
    <n v="17372"/>
    <n v="29.03"/>
    <x v="0"/>
    <s v="Dewi"/>
    <x v="2"/>
    <x v="0"/>
    <n v="4"/>
  </r>
  <r>
    <x v="423"/>
    <d v="2023-05-04T00:00:00"/>
    <s v="Kamis"/>
    <x v="11"/>
    <s v="Q2"/>
    <n v="2023"/>
    <s v="Pagi (08-12)"/>
    <s v="Hand Sanitizer"/>
    <x v="3"/>
    <n v="12000"/>
    <n v="6"/>
    <n v="15"/>
    <n v="61200"/>
    <n v="33748"/>
    <n v="27452"/>
    <n v="44.86"/>
    <x v="1"/>
    <s v="Agus"/>
    <x v="4"/>
    <x v="1"/>
    <n v="3"/>
  </r>
  <r>
    <x v="424"/>
    <d v="2024-09-19T00:00:00"/>
    <s v="Kamis"/>
    <x v="6"/>
    <s v="Q3"/>
    <n v="2024"/>
    <s v="Sore (16-20)"/>
    <s v="Shampo Sunsilk"/>
    <x v="2"/>
    <n v="15000"/>
    <n v="9"/>
    <n v="0"/>
    <n v="135000"/>
    <n v="79692"/>
    <n v="55308"/>
    <n v="40.97"/>
    <x v="2"/>
    <s v="Dewi"/>
    <x v="2"/>
    <x v="0"/>
    <n v="4"/>
  </r>
  <r>
    <x v="425"/>
    <d v="2024-03-10T00:00:00"/>
    <s v="Minggu"/>
    <x v="3"/>
    <s v="Q1"/>
    <n v="2024"/>
    <s v="Siang (12-16)"/>
    <s v="Indomie Goreng"/>
    <x v="1"/>
    <n v="3500"/>
    <n v="6"/>
    <n v="0"/>
    <n v="21000"/>
    <n v="14600"/>
    <n v="6400"/>
    <n v="30.48"/>
    <x v="4"/>
    <s v="Agus"/>
    <x v="3"/>
    <x v="0"/>
    <n v="1"/>
  </r>
  <r>
    <x v="426"/>
    <d v="2023-10-04T00:00:00"/>
    <s v="Rabu"/>
    <x v="0"/>
    <s v="Q4"/>
    <n v="2023"/>
    <s v="Pagi (08-12)"/>
    <s v="Cheetos"/>
    <x v="1"/>
    <n v="11000"/>
    <n v="7"/>
    <n v="20"/>
    <n v="61600"/>
    <n v="37869"/>
    <n v="23731"/>
    <n v="38.520000000000003"/>
    <x v="1"/>
    <s v="Budi"/>
    <x v="1"/>
    <x v="0"/>
    <n v="4"/>
  </r>
  <r>
    <x v="427"/>
    <d v="2024-05-26T00:00:00"/>
    <s v="Minggu"/>
    <x v="11"/>
    <s v="Q2"/>
    <n v="2024"/>
    <s v="Pagi (08-12)"/>
    <s v="Cheetos"/>
    <x v="1"/>
    <n v="11000"/>
    <n v="9"/>
    <n v="15"/>
    <n v="84150"/>
    <n v="50799"/>
    <n v="33351"/>
    <n v="39.630000000000003"/>
    <x v="2"/>
    <s v="Siti"/>
    <x v="2"/>
    <x v="1"/>
    <n v="1"/>
  </r>
  <r>
    <x v="428"/>
    <d v="2024-12-08T00:00:00"/>
    <s v="Minggu"/>
    <x v="8"/>
    <s v="Q4"/>
    <n v="2024"/>
    <s v="Sore (16-20)"/>
    <s v="Chitato"/>
    <x v="1"/>
    <n v="12000"/>
    <n v="4"/>
    <n v="20"/>
    <n v="38400"/>
    <n v="22780"/>
    <n v="15620"/>
    <n v="40.68"/>
    <x v="0"/>
    <s v="Agus"/>
    <x v="2"/>
    <x v="1"/>
    <n v="3"/>
  </r>
  <r>
    <x v="429"/>
    <d v="2024-07-27T00:00:00"/>
    <s v="Sabtu"/>
    <x v="4"/>
    <s v="Q3"/>
    <n v="2024"/>
    <s v="Siang (12-16)"/>
    <s v="Lip Balm Nivea"/>
    <x v="3"/>
    <n v="18000"/>
    <n v="6"/>
    <n v="0"/>
    <n v="108000"/>
    <n v="66960"/>
    <n v="41040"/>
    <n v="38"/>
    <x v="4"/>
    <s v="Dewi"/>
    <x v="3"/>
    <x v="1"/>
    <n v="3"/>
  </r>
  <r>
    <x v="430"/>
    <d v="2023-11-29T00:00:00"/>
    <s v="Rabu"/>
    <x v="10"/>
    <s v="Q4"/>
    <n v="2023"/>
    <s v="Siang (12-16)"/>
    <s v="Hand Sanitizer"/>
    <x v="3"/>
    <n v="12000"/>
    <n v="8"/>
    <n v="0"/>
    <n v="96000"/>
    <n v="59019"/>
    <n v="36981"/>
    <n v="38.520000000000003"/>
    <x v="4"/>
    <s v="Agus"/>
    <x v="3"/>
    <x v="1"/>
    <n v="4"/>
  </r>
  <r>
    <x v="431"/>
    <d v="2024-10-08T00:00:00"/>
    <s v="Selasa"/>
    <x v="0"/>
    <s v="Q4"/>
    <n v="2024"/>
    <s v="Siang (12-16)"/>
    <s v="Kapas Kecantikan"/>
    <x v="3"/>
    <n v="8000"/>
    <n v="7"/>
    <n v="20"/>
    <n v="44800"/>
    <n v="31548"/>
    <n v="13252"/>
    <n v="29.58"/>
    <x v="0"/>
    <s v="Budi"/>
    <x v="2"/>
    <x v="1"/>
    <n v="3"/>
  </r>
  <r>
    <x v="432"/>
    <d v="2024-10-30T00:00:00"/>
    <s v="Rabu"/>
    <x v="0"/>
    <s v="Q4"/>
    <n v="2024"/>
    <s v="Malam (20-22)"/>
    <s v="Pasta Gigi Pepsodent"/>
    <x v="2"/>
    <n v="12000"/>
    <n v="10"/>
    <n v="15"/>
    <n v="102000"/>
    <n v="62957"/>
    <n v="39043"/>
    <n v="38.28"/>
    <x v="2"/>
    <s v="Siti"/>
    <x v="4"/>
    <x v="1"/>
    <n v="2"/>
  </r>
  <r>
    <x v="433"/>
    <d v="2023-07-08T00:00:00"/>
    <s v="Sabtu"/>
    <x v="4"/>
    <s v="Q3"/>
    <n v="2023"/>
    <s v="Malam (20-22)"/>
    <s v="Teh Botol"/>
    <x v="0"/>
    <n v="6000"/>
    <n v="4"/>
    <n v="15"/>
    <n v="20400"/>
    <n v="12093"/>
    <n v="8307"/>
    <n v="40.72"/>
    <x v="0"/>
    <s v="Budi"/>
    <x v="3"/>
    <x v="0"/>
    <n v="1"/>
  </r>
  <r>
    <x v="434"/>
    <d v="2023-03-07T00:00:00"/>
    <s v="Selasa"/>
    <x v="3"/>
    <s v="Q1"/>
    <n v="2023"/>
    <s v="Sore (16-20)"/>
    <s v="Gula Pasir 1kg"/>
    <x v="4"/>
    <n v="16000"/>
    <n v="1"/>
    <n v="0"/>
    <n v="16000"/>
    <n v="10897"/>
    <n v="5103"/>
    <n v="31.89"/>
    <x v="3"/>
    <s v="Rina"/>
    <x v="0"/>
    <x v="0"/>
    <n v="1"/>
  </r>
  <r>
    <x v="435"/>
    <d v="2024-11-01T00:00:00"/>
    <s v="Jumat"/>
    <x v="10"/>
    <s v="Q4"/>
    <n v="2024"/>
    <s v="Siang (12-16)"/>
    <s v="Royco Ayam"/>
    <x v="4"/>
    <n v="5000"/>
    <n v="4"/>
    <n v="0"/>
    <n v="20000"/>
    <n v="13508"/>
    <n v="6492"/>
    <n v="32.46"/>
    <x v="2"/>
    <s v="Budi"/>
    <x v="3"/>
    <x v="0"/>
    <n v="1"/>
  </r>
  <r>
    <x v="436"/>
    <d v="2024-11-10T00:00:00"/>
    <s v="Minggu"/>
    <x v="10"/>
    <s v="Q4"/>
    <n v="2024"/>
    <s v="Malam (20-22)"/>
    <s v="Pasta Gigi Pepsodent"/>
    <x v="2"/>
    <n v="12000"/>
    <n v="8"/>
    <n v="5"/>
    <n v="91200"/>
    <n v="65276"/>
    <n v="25924"/>
    <n v="28.43"/>
    <x v="3"/>
    <s v="Siti"/>
    <x v="4"/>
    <x v="0"/>
    <n v="5"/>
  </r>
  <r>
    <x v="437"/>
    <d v="2023-07-01T00:00:00"/>
    <s v="Sabtu"/>
    <x v="4"/>
    <s v="Q3"/>
    <n v="2023"/>
    <s v="Sore (16-20)"/>
    <s v="Kapas Kecantikan"/>
    <x v="3"/>
    <n v="8000"/>
    <n v="8"/>
    <n v="15"/>
    <n v="54400"/>
    <n v="36846"/>
    <n v="17554"/>
    <n v="32.270000000000003"/>
    <x v="3"/>
    <s v="Agus"/>
    <x v="4"/>
    <x v="1"/>
    <n v="4"/>
  </r>
  <r>
    <x v="438"/>
    <d v="2024-07-06T00:00:00"/>
    <s v="Sabtu"/>
    <x v="4"/>
    <s v="Q3"/>
    <n v="2024"/>
    <s v="Pagi (08-12)"/>
    <s v="Chitato"/>
    <x v="1"/>
    <n v="12000"/>
    <n v="8"/>
    <n v="0"/>
    <n v="96000"/>
    <n v="58770"/>
    <n v="37230"/>
    <n v="38.78"/>
    <x v="4"/>
    <s v="Budi"/>
    <x v="2"/>
    <x v="0"/>
    <n v="5"/>
  </r>
  <r>
    <x v="439"/>
    <d v="2023-05-20T00:00:00"/>
    <s v="Sabtu"/>
    <x v="11"/>
    <s v="Q2"/>
    <n v="2023"/>
    <s v="Pagi (08-12)"/>
    <s v="Pasta Gigi Pepsodent"/>
    <x v="2"/>
    <n v="12000"/>
    <n v="8"/>
    <n v="10"/>
    <n v="86400"/>
    <n v="47642"/>
    <n v="38758"/>
    <n v="44.86"/>
    <x v="2"/>
    <s v="Agus"/>
    <x v="2"/>
    <x v="1"/>
    <n v="3"/>
  </r>
  <r>
    <x v="440"/>
    <d v="2024-09-03T00:00:00"/>
    <s v="Selasa"/>
    <x v="6"/>
    <s v="Q3"/>
    <n v="2024"/>
    <s v="Siang (12-16)"/>
    <s v="Chitato"/>
    <x v="1"/>
    <n v="12000"/>
    <n v="9"/>
    <n v="0"/>
    <n v="108000"/>
    <n v="62862"/>
    <n v="45138"/>
    <n v="41.79"/>
    <x v="3"/>
    <s v="Agus"/>
    <x v="1"/>
    <x v="0"/>
    <n v="4"/>
  </r>
  <r>
    <x v="441"/>
    <d v="2024-01-23T00:00:00"/>
    <s v="Selasa"/>
    <x v="2"/>
    <s v="Q1"/>
    <n v="2024"/>
    <s v="Sore (16-20)"/>
    <s v="Qtela"/>
    <x v="1"/>
    <n v="14000"/>
    <n v="2"/>
    <n v="5"/>
    <n v="26600"/>
    <n v="17458"/>
    <n v="9142"/>
    <n v="34.369999999999997"/>
    <x v="3"/>
    <s v="Dewi"/>
    <x v="2"/>
    <x v="1"/>
    <n v="4"/>
  </r>
  <r>
    <x v="442"/>
    <d v="2023-07-12T00:00:00"/>
    <s v="Rabu"/>
    <x v="4"/>
    <s v="Q3"/>
    <n v="2023"/>
    <s v="Sore (16-20)"/>
    <s v="Teh Botol"/>
    <x v="0"/>
    <n v="6000"/>
    <n v="3"/>
    <n v="0"/>
    <n v="18000"/>
    <n v="10238"/>
    <n v="7762"/>
    <n v="43.12"/>
    <x v="2"/>
    <s v="Dewi"/>
    <x v="1"/>
    <x v="1"/>
    <n v="2"/>
  </r>
  <r>
    <x v="443"/>
    <d v="2023-11-25T00:00:00"/>
    <s v="Sabtu"/>
    <x v="10"/>
    <s v="Q4"/>
    <n v="2023"/>
    <s v="Siang (12-16)"/>
    <s v="Teh Botol"/>
    <x v="0"/>
    <n v="6000"/>
    <n v="1"/>
    <n v="10"/>
    <n v="5400"/>
    <n v="2990"/>
    <n v="2410"/>
    <n v="44.63"/>
    <x v="0"/>
    <s v="Siti"/>
    <x v="2"/>
    <x v="1"/>
    <n v="1"/>
  </r>
  <r>
    <x v="444"/>
    <d v="2023-08-27T00:00:00"/>
    <s v="Minggu"/>
    <x v="9"/>
    <s v="Q3"/>
    <n v="2023"/>
    <s v="Sore (16-20)"/>
    <s v="Teh Botol"/>
    <x v="0"/>
    <n v="6000"/>
    <n v="1"/>
    <n v="5"/>
    <n v="5700"/>
    <n v="3345"/>
    <n v="2355"/>
    <n v="41.32"/>
    <x v="2"/>
    <s v="Siti"/>
    <x v="1"/>
    <x v="1"/>
    <n v="1"/>
  </r>
  <r>
    <x v="445"/>
    <d v="2023-12-05T00:00:00"/>
    <s v="Selasa"/>
    <x v="8"/>
    <s v="Q4"/>
    <n v="2023"/>
    <s v="Siang (12-16)"/>
    <s v="Teh Botol"/>
    <x v="0"/>
    <n v="6000"/>
    <n v="1"/>
    <n v="0"/>
    <n v="6000"/>
    <n v="4091"/>
    <n v="1909"/>
    <n v="31.82"/>
    <x v="0"/>
    <s v="Dewi"/>
    <x v="1"/>
    <x v="0"/>
    <n v="3"/>
  </r>
  <r>
    <x v="446"/>
    <d v="2024-01-26T00:00:00"/>
    <s v="Jumat"/>
    <x v="2"/>
    <s v="Q1"/>
    <n v="2024"/>
    <s v="Siang (12-16)"/>
    <s v="Aqua 1.5L"/>
    <x v="0"/>
    <n v="5000"/>
    <n v="4"/>
    <n v="5"/>
    <n v="19000"/>
    <n v="12941"/>
    <n v="6059"/>
    <n v="31.89"/>
    <x v="2"/>
    <s v="Budi"/>
    <x v="0"/>
    <x v="1"/>
    <n v="1"/>
  </r>
  <r>
    <x v="447"/>
    <d v="2024-06-17T00:00:00"/>
    <s v="Senin"/>
    <x v="7"/>
    <s v="Q2"/>
    <n v="2024"/>
    <s v="Pagi (08-12)"/>
    <s v="Indomie Goreng"/>
    <x v="1"/>
    <n v="3500"/>
    <n v="7"/>
    <n v="15"/>
    <n v="20825"/>
    <n v="14857"/>
    <n v="5968"/>
    <n v="28.66"/>
    <x v="4"/>
    <s v="Budi"/>
    <x v="0"/>
    <x v="1"/>
    <n v="4"/>
  </r>
  <r>
    <x v="448"/>
    <d v="2024-10-15T00:00:00"/>
    <s v="Selasa"/>
    <x v="0"/>
    <s v="Q4"/>
    <n v="2024"/>
    <s v="Malam (20-22)"/>
    <s v="Shampo Sunsilk"/>
    <x v="2"/>
    <n v="15000"/>
    <n v="6"/>
    <n v="0"/>
    <n v="90000"/>
    <n v="62714"/>
    <n v="27286"/>
    <n v="30.32"/>
    <x v="1"/>
    <s v="Rina"/>
    <x v="3"/>
    <x v="1"/>
    <n v="1"/>
  </r>
  <r>
    <x v="449"/>
    <d v="2023-06-21T00:00:00"/>
    <s v="Rabu"/>
    <x v="7"/>
    <s v="Q2"/>
    <n v="2023"/>
    <s v="Malam (20-22)"/>
    <s v="Softex"/>
    <x v="2"/>
    <n v="18000"/>
    <n v="2"/>
    <n v="5"/>
    <n v="34200"/>
    <n v="23398"/>
    <n v="10802"/>
    <n v="31.58"/>
    <x v="0"/>
    <s v="Rina"/>
    <x v="4"/>
    <x v="0"/>
    <n v="3"/>
  </r>
  <r>
    <x v="450"/>
    <d v="2023-04-02T00:00:00"/>
    <s v="Minggu"/>
    <x v="1"/>
    <s v="Q2"/>
    <n v="2023"/>
    <s v="Sore (16-20)"/>
    <s v="Oreo"/>
    <x v="1"/>
    <n v="10000"/>
    <n v="8"/>
    <n v="0"/>
    <n v="80000"/>
    <n v="53329"/>
    <n v="26671"/>
    <n v="33.340000000000003"/>
    <x v="4"/>
    <s v="Rina"/>
    <x v="0"/>
    <x v="0"/>
    <n v="5"/>
  </r>
  <r>
    <x v="451"/>
    <d v="2023-04-20T00:00:00"/>
    <s v="Kamis"/>
    <x v="1"/>
    <s v="Q2"/>
    <n v="2023"/>
    <s v="Pagi (08-12)"/>
    <s v="Indomie Goreng"/>
    <x v="1"/>
    <n v="3500"/>
    <n v="4"/>
    <n v="0"/>
    <n v="14000"/>
    <n v="10036"/>
    <n v="3964"/>
    <n v="28.31"/>
    <x v="4"/>
    <s v="Agus"/>
    <x v="3"/>
    <x v="1"/>
    <n v="3"/>
  </r>
  <r>
    <x v="452"/>
    <d v="2023-05-18T00:00:00"/>
    <s v="Kamis"/>
    <x v="11"/>
    <s v="Q2"/>
    <n v="2023"/>
    <s v="Siang (12-16)"/>
    <s v="Sabun Lifebuoy"/>
    <x v="2"/>
    <n v="8000"/>
    <n v="8"/>
    <n v="15"/>
    <n v="54400"/>
    <n v="33966"/>
    <n v="20434"/>
    <n v="37.56"/>
    <x v="4"/>
    <s v="Dewi"/>
    <x v="1"/>
    <x v="0"/>
    <n v="5"/>
  </r>
  <r>
    <x v="453"/>
    <d v="2023-12-23T00:00:00"/>
    <s v="Sabtu"/>
    <x v="8"/>
    <s v="Q4"/>
    <n v="2023"/>
    <s v="Siang (12-16)"/>
    <s v="Deterjen Rinso"/>
    <x v="2"/>
    <n v="22000"/>
    <n v="5"/>
    <n v="20"/>
    <n v="88000"/>
    <n v="60837"/>
    <n v="27163"/>
    <n v="30.87"/>
    <x v="3"/>
    <s v="Budi"/>
    <x v="0"/>
    <x v="1"/>
    <n v="3"/>
  </r>
  <r>
    <x v="454"/>
    <d v="2023-09-27T00:00:00"/>
    <s v="Rabu"/>
    <x v="6"/>
    <s v="Q3"/>
    <n v="2023"/>
    <s v="Pagi (08-12)"/>
    <s v="Lip Balm Nivea"/>
    <x v="3"/>
    <n v="18000"/>
    <n v="8"/>
    <n v="0"/>
    <n v="144000"/>
    <n v="98194"/>
    <n v="45806"/>
    <n v="31.81"/>
    <x v="3"/>
    <s v="Agus"/>
    <x v="3"/>
    <x v="1"/>
    <n v="5"/>
  </r>
  <r>
    <x v="455"/>
    <d v="2023-09-02T00:00:00"/>
    <s v="Sabtu"/>
    <x v="6"/>
    <s v="Q3"/>
    <n v="2023"/>
    <s v="Siang (12-16)"/>
    <s v="Sabun Lifebuoy"/>
    <x v="2"/>
    <n v="8000"/>
    <n v="9"/>
    <n v="20"/>
    <n v="57600"/>
    <n v="35474"/>
    <n v="22126"/>
    <n v="38.409999999999997"/>
    <x v="3"/>
    <s v="Agus"/>
    <x v="4"/>
    <x v="1"/>
    <n v="3"/>
  </r>
  <r>
    <x v="456"/>
    <d v="2024-02-24T00:00:00"/>
    <s v="Sabtu"/>
    <x v="5"/>
    <s v="Q1"/>
    <n v="2024"/>
    <s v="Pagi (08-12)"/>
    <s v="Sabun Lifebuoy"/>
    <x v="2"/>
    <n v="8000"/>
    <n v="2"/>
    <n v="10"/>
    <n v="14400"/>
    <n v="9533"/>
    <n v="4867"/>
    <n v="33.799999999999997"/>
    <x v="0"/>
    <s v="Budi"/>
    <x v="3"/>
    <x v="0"/>
    <n v="1"/>
  </r>
  <r>
    <x v="457"/>
    <d v="2024-05-12T00:00:00"/>
    <s v="Minggu"/>
    <x v="11"/>
    <s v="Q2"/>
    <n v="2024"/>
    <s v="Sore (16-20)"/>
    <s v="Chitato"/>
    <x v="1"/>
    <n v="12000"/>
    <n v="1"/>
    <n v="10"/>
    <n v="10800"/>
    <n v="7118"/>
    <n v="3682"/>
    <n v="34.090000000000003"/>
    <x v="2"/>
    <s v="Agus"/>
    <x v="4"/>
    <x v="0"/>
    <n v="3"/>
  </r>
  <r>
    <x v="458"/>
    <d v="2023-08-15T00:00:00"/>
    <s v="Selasa"/>
    <x v="9"/>
    <s v="Q3"/>
    <n v="2023"/>
    <s v="Sore (16-20)"/>
    <s v="Pelembab Vaseline"/>
    <x v="3"/>
    <n v="25000"/>
    <n v="1"/>
    <n v="0"/>
    <n v="25000"/>
    <n v="16537"/>
    <n v="8463"/>
    <n v="33.85"/>
    <x v="0"/>
    <s v="Agus"/>
    <x v="0"/>
    <x v="1"/>
    <n v="3"/>
  </r>
  <r>
    <x v="459"/>
    <d v="2024-12-26T00:00:00"/>
    <s v="Kamis"/>
    <x v="8"/>
    <s v="Q4"/>
    <n v="2024"/>
    <s v="Siang (12-16)"/>
    <s v="Susu Ultra"/>
    <x v="0"/>
    <n v="9000"/>
    <n v="5"/>
    <n v="10"/>
    <n v="40500"/>
    <n v="22555"/>
    <n v="17945"/>
    <n v="44.31"/>
    <x v="0"/>
    <s v="Siti"/>
    <x v="0"/>
    <x v="0"/>
    <n v="1"/>
  </r>
  <r>
    <x v="460"/>
    <d v="2023-08-25T00:00:00"/>
    <s v="Jumat"/>
    <x v="9"/>
    <s v="Q3"/>
    <n v="2023"/>
    <s v="Malam (20-22)"/>
    <s v="Hand Sanitizer"/>
    <x v="3"/>
    <n v="12000"/>
    <n v="4"/>
    <n v="0"/>
    <n v="48000"/>
    <n v="30694"/>
    <n v="17306"/>
    <n v="36.049999999999997"/>
    <x v="1"/>
    <s v="Dewi"/>
    <x v="3"/>
    <x v="0"/>
    <n v="5"/>
  </r>
  <r>
    <x v="461"/>
    <d v="2024-01-02T00:00:00"/>
    <s v="Selasa"/>
    <x v="2"/>
    <s v="Q1"/>
    <n v="2024"/>
    <s v="Sore (16-20)"/>
    <s v="Sania Minyak Goreng"/>
    <x v="4"/>
    <n v="28000"/>
    <n v="2"/>
    <n v="0"/>
    <n v="56000"/>
    <n v="38344"/>
    <n v="17656"/>
    <n v="31.53"/>
    <x v="3"/>
    <s v="Agus"/>
    <x v="4"/>
    <x v="0"/>
    <n v="5"/>
  </r>
  <r>
    <x v="462"/>
    <d v="2024-09-06T00:00:00"/>
    <s v="Jumat"/>
    <x v="6"/>
    <s v="Q3"/>
    <n v="2024"/>
    <s v="Malam (20-22)"/>
    <s v="Royco Ayam"/>
    <x v="4"/>
    <n v="5000"/>
    <n v="6"/>
    <n v="10"/>
    <n v="27000"/>
    <n v="19401"/>
    <n v="7599"/>
    <n v="28.14"/>
    <x v="4"/>
    <s v="Siti"/>
    <x v="1"/>
    <x v="1"/>
    <n v="5"/>
  </r>
  <r>
    <x v="463"/>
    <d v="2023-09-04T00:00:00"/>
    <s v="Senin"/>
    <x v="6"/>
    <s v="Q3"/>
    <n v="2023"/>
    <s v="Malam (20-22)"/>
    <s v="Kapas Kecantikan"/>
    <x v="3"/>
    <n v="8000"/>
    <n v="4"/>
    <n v="5"/>
    <n v="30400"/>
    <n v="20677"/>
    <n v="9723"/>
    <n v="31.98"/>
    <x v="4"/>
    <s v="Siti"/>
    <x v="1"/>
    <x v="1"/>
    <n v="1"/>
  </r>
  <r>
    <x v="464"/>
    <d v="2023-02-05T00:00:00"/>
    <s v="Minggu"/>
    <x v="5"/>
    <s v="Q1"/>
    <n v="2023"/>
    <s v="Siang (12-16)"/>
    <s v="Softex"/>
    <x v="2"/>
    <n v="18000"/>
    <n v="1"/>
    <n v="10"/>
    <n v="16200"/>
    <n v="9282"/>
    <n v="6918"/>
    <n v="42.7"/>
    <x v="4"/>
    <s v="Rina"/>
    <x v="2"/>
    <x v="0"/>
    <n v="3"/>
  </r>
  <r>
    <x v="465"/>
    <d v="2023-01-23T00:00:00"/>
    <s v="Senin"/>
    <x v="2"/>
    <s v="Q1"/>
    <n v="2023"/>
    <s v="Pagi (08-12)"/>
    <s v="Softex"/>
    <x v="2"/>
    <n v="18000"/>
    <n v="9"/>
    <n v="10"/>
    <n v="145800"/>
    <n v="94335"/>
    <n v="51465"/>
    <n v="35.299999999999997"/>
    <x v="3"/>
    <s v="Budi"/>
    <x v="0"/>
    <x v="1"/>
    <n v="3"/>
  </r>
  <r>
    <x v="466"/>
    <d v="2023-06-09T00:00:00"/>
    <s v="Jumat"/>
    <x v="7"/>
    <s v="Q2"/>
    <n v="2023"/>
    <s v="Malam (20-22)"/>
    <s v="Qtela"/>
    <x v="1"/>
    <n v="14000"/>
    <n v="6"/>
    <n v="10"/>
    <n v="75600"/>
    <n v="44791"/>
    <n v="30809"/>
    <n v="40.75"/>
    <x v="4"/>
    <s v="Siti"/>
    <x v="0"/>
    <x v="0"/>
    <n v="1"/>
  </r>
  <r>
    <x v="467"/>
    <d v="2023-11-29T00:00:00"/>
    <s v="Rabu"/>
    <x v="10"/>
    <s v="Q4"/>
    <n v="2023"/>
    <s v="Sore (16-20)"/>
    <s v="Saos Sambal"/>
    <x v="4"/>
    <n v="10000"/>
    <n v="8"/>
    <n v="20"/>
    <n v="64000"/>
    <n v="44981"/>
    <n v="19019"/>
    <n v="29.72"/>
    <x v="3"/>
    <s v="Rina"/>
    <x v="4"/>
    <x v="0"/>
    <n v="5"/>
  </r>
  <r>
    <x v="468"/>
    <d v="2024-01-26T00:00:00"/>
    <s v="Jumat"/>
    <x v="2"/>
    <s v="Q1"/>
    <n v="2024"/>
    <s v="Siang (12-16)"/>
    <s v="Aqua 1.5L"/>
    <x v="0"/>
    <n v="5000"/>
    <n v="6"/>
    <n v="0"/>
    <n v="30000"/>
    <n v="20987"/>
    <n v="9013"/>
    <n v="30.04"/>
    <x v="2"/>
    <s v="Agus"/>
    <x v="0"/>
    <x v="0"/>
    <n v="4"/>
  </r>
  <r>
    <x v="469"/>
    <d v="2023-02-25T00:00:00"/>
    <s v="Sabtu"/>
    <x v="5"/>
    <s v="Q1"/>
    <n v="2023"/>
    <s v="Siang (12-16)"/>
    <s v="Softex"/>
    <x v="2"/>
    <n v="18000"/>
    <n v="1"/>
    <n v="0"/>
    <n v="18000"/>
    <n v="11552"/>
    <n v="6448"/>
    <n v="35.82"/>
    <x v="1"/>
    <s v="Siti"/>
    <x v="4"/>
    <x v="0"/>
    <n v="1"/>
  </r>
  <r>
    <x v="470"/>
    <d v="2024-11-20T00:00:00"/>
    <s v="Rabu"/>
    <x v="10"/>
    <s v="Q4"/>
    <n v="2024"/>
    <s v="Malam (20-22)"/>
    <s v="Sania Minyak Goreng"/>
    <x v="4"/>
    <n v="28000"/>
    <n v="10"/>
    <n v="10"/>
    <n v="252000"/>
    <n v="160223"/>
    <n v="91777"/>
    <n v="36.42"/>
    <x v="1"/>
    <s v="Agus"/>
    <x v="2"/>
    <x v="0"/>
    <n v="2"/>
  </r>
  <r>
    <x v="471"/>
    <d v="2023-12-11T00:00:00"/>
    <s v="Senin"/>
    <x v="8"/>
    <s v="Q4"/>
    <n v="2023"/>
    <s v="Malam (20-22)"/>
    <s v="Kopi Kapal Api"/>
    <x v="0"/>
    <n v="12000"/>
    <n v="10"/>
    <n v="15"/>
    <n v="102000"/>
    <n v="56955"/>
    <n v="45045"/>
    <n v="44.16"/>
    <x v="2"/>
    <s v="Siti"/>
    <x v="0"/>
    <x v="1"/>
    <n v="2"/>
  </r>
  <r>
    <x v="472"/>
    <d v="2023-05-19T00:00:00"/>
    <s v="Jumat"/>
    <x v="11"/>
    <s v="Q2"/>
    <n v="2023"/>
    <s v="Siang (12-16)"/>
    <s v="Gula Pasir 1kg"/>
    <x v="4"/>
    <n v="16000"/>
    <n v="4"/>
    <n v="5"/>
    <n v="60800"/>
    <n v="37526"/>
    <n v="23274"/>
    <n v="38.28"/>
    <x v="3"/>
    <s v="Budi"/>
    <x v="4"/>
    <x v="0"/>
    <n v="1"/>
  </r>
  <r>
    <x v="473"/>
    <d v="2023-09-30T00:00:00"/>
    <s v="Sabtu"/>
    <x v="6"/>
    <s v="Q3"/>
    <n v="2023"/>
    <s v="Sore (16-20)"/>
    <s v="Royco Ayam"/>
    <x v="4"/>
    <n v="5000"/>
    <n v="10"/>
    <n v="0"/>
    <n v="50000"/>
    <n v="28457"/>
    <n v="21543"/>
    <n v="43.09"/>
    <x v="2"/>
    <s v="Agus"/>
    <x v="2"/>
    <x v="0"/>
    <n v="3"/>
  </r>
  <r>
    <x v="474"/>
    <d v="2023-12-19T00:00:00"/>
    <s v="Selasa"/>
    <x v="8"/>
    <s v="Q4"/>
    <n v="2023"/>
    <s v="Siang (12-16)"/>
    <s v="Pelembab Vaseline"/>
    <x v="3"/>
    <n v="25000"/>
    <n v="5"/>
    <n v="0"/>
    <n v="125000"/>
    <n v="89738"/>
    <n v="35262"/>
    <n v="28.21"/>
    <x v="3"/>
    <s v="Agus"/>
    <x v="4"/>
    <x v="1"/>
    <n v="1"/>
  </r>
  <r>
    <x v="475"/>
    <d v="2023-08-28T00:00:00"/>
    <s v="Senin"/>
    <x v="9"/>
    <s v="Q3"/>
    <n v="2023"/>
    <s v="Siang (12-16)"/>
    <s v="Qtela"/>
    <x v="1"/>
    <n v="14000"/>
    <n v="3"/>
    <n v="20"/>
    <n v="33600"/>
    <n v="22641"/>
    <n v="10959"/>
    <n v="32.619999999999997"/>
    <x v="0"/>
    <s v="Rina"/>
    <x v="0"/>
    <x v="0"/>
    <n v="3"/>
  </r>
  <r>
    <x v="476"/>
    <d v="2023-01-15T00:00:00"/>
    <s v="Minggu"/>
    <x v="2"/>
    <s v="Q1"/>
    <n v="2023"/>
    <s v="Siang (12-16)"/>
    <s v="Sabun Lifebuoy"/>
    <x v="2"/>
    <n v="8000"/>
    <n v="5"/>
    <n v="5"/>
    <n v="38000"/>
    <n v="23944"/>
    <n v="14056"/>
    <n v="36.99"/>
    <x v="4"/>
    <s v="Budi"/>
    <x v="4"/>
    <x v="0"/>
    <n v="5"/>
  </r>
  <r>
    <x v="477"/>
    <d v="2024-06-19T00:00:00"/>
    <s v="Rabu"/>
    <x v="7"/>
    <s v="Q2"/>
    <n v="2024"/>
    <s v="Pagi (08-12)"/>
    <s v="Softex"/>
    <x v="2"/>
    <n v="18000"/>
    <n v="8"/>
    <n v="10"/>
    <n v="129600"/>
    <n v="87362"/>
    <n v="42238"/>
    <n v="32.590000000000003"/>
    <x v="1"/>
    <s v="Rina"/>
    <x v="1"/>
    <x v="1"/>
    <n v="2"/>
  </r>
  <r>
    <x v="478"/>
    <d v="2023-03-03T00:00:00"/>
    <s v="Jumat"/>
    <x v="3"/>
    <s v="Q1"/>
    <n v="2023"/>
    <s v="Sore (16-20)"/>
    <s v="Shampo Sunsilk"/>
    <x v="2"/>
    <n v="15000"/>
    <n v="10"/>
    <n v="0"/>
    <n v="150000"/>
    <n v="83854"/>
    <n v="66146"/>
    <n v="44.1"/>
    <x v="0"/>
    <s v="Rina"/>
    <x v="1"/>
    <x v="1"/>
    <n v="1"/>
  </r>
  <r>
    <x v="479"/>
    <d v="2023-01-20T00:00:00"/>
    <s v="Jumat"/>
    <x v="2"/>
    <s v="Q1"/>
    <n v="2023"/>
    <s v="Pagi (08-12)"/>
    <s v="Deterjen Rinso"/>
    <x v="2"/>
    <n v="22000"/>
    <n v="4"/>
    <n v="5"/>
    <n v="83600"/>
    <n v="53207"/>
    <n v="30393"/>
    <n v="36.36"/>
    <x v="0"/>
    <s v="Siti"/>
    <x v="1"/>
    <x v="0"/>
    <n v="2"/>
  </r>
  <r>
    <x v="480"/>
    <d v="2024-05-27T00:00:00"/>
    <s v="Senin"/>
    <x v="11"/>
    <s v="Q2"/>
    <n v="2024"/>
    <s v="Malam (20-22)"/>
    <s v="Gula Pasir 1kg"/>
    <x v="4"/>
    <n v="16000"/>
    <n v="1"/>
    <n v="0"/>
    <n v="16000"/>
    <n v="9473"/>
    <n v="6527"/>
    <n v="40.79"/>
    <x v="3"/>
    <s v="Siti"/>
    <x v="2"/>
    <x v="1"/>
    <n v="2"/>
  </r>
  <r>
    <x v="481"/>
    <d v="2023-01-19T00:00:00"/>
    <s v="Kamis"/>
    <x v="2"/>
    <s v="Q1"/>
    <n v="2023"/>
    <s v="Sore (16-20)"/>
    <s v="Pasta Gigi Pepsodent"/>
    <x v="2"/>
    <n v="12000"/>
    <n v="6"/>
    <n v="15"/>
    <n v="61200"/>
    <n v="36805"/>
    <n v="24395"/>
    <n v="39.86"/>
    <x v="3"/>
    <s v="Siti"/>
    <x v="0"/>
    <x v="1"/>
    <n v="1"/>
  </r>
  <r>
    <x v="482"/>
    <d v="2024-07-22T00:00:00"/>
    <s v="Senin"/>
    <x v="4"/>
    <s v="Q3"/>
    <n v="2024"/>
    <s v="Siang (12-16)"/>
    <s v="Shampo Sunsilk"/>
    <x v="2"/>
    <n v="15000"/>
    <n v="3"/>
    <n v="0"/>
    <n v="45000"/>
    <n v="31613"/>
    <n v="13387"/>
    <n v="29.75"/>
    <x v="1"/>
    <s v="Rina"/>
    <x v="1"/>
    <x v="1"/>
    <n v="2"/>
  </r>
  <r>
    <x v="483"/>
    <d v="2024-08-09T00:00:00"/>
    <s v="Jumat"/>
    <x v="9"/>
    <s v="Q3"/>
    <n v="2024"/>
    <s v="Siang (12-16)"/>
    <s v="Indomie Goreng"/>
    <x v="1"/>
    <n v="3500"/>
    <n v="5"/>
    <n v="10"/>
    <n v="15750"/>
    <n v="9544"/>
    <n v="6206"/>
    <n v="39.4"/>
    <x v="3"/>
    <s v="Budi"/>
    <x v="3"/>
    <x v="0"/>
    <n v="2"/>
  </r>
  <r>
    <x v="484"/>
    <d v="2023-11-13T00:00:00"/>
    <s v="Senin"/>
    <x v="10"/>
    <s v="Q4"/>
    <n v="2023"/>
    <s v="Pagi (08-12)"/>
    <s v="Deodorant Rexona"/>
    <x v="3"/>
    <n v="20000"/>
    <n v="7"/>
    <n v="20"/>
    <n v="112000"/>
    <n v="64364"/>
    <n v="47636"/>
    <n v="42.53"/>
    <x v="3"/>
    <s v="Budi"/>
    <x v="2"/>
    <x v="0"/>
    <n v="2"/>
  </r>
  <r>
    <x v="485"/>
    <d v="2023-11-22T00:00:00"/>
    <s v="Rabu"/>
    <x v="10"/>
    <s v="Q4"/>
    <n v="2023"/>
    <s v="Siang (12-16)"/>
    <s v="Chitato"/>
    <x v="1"/>
    <n v="12000"/>
    <n v="6"/>
    <n v="5"/>
    <n v="68400"/>
    <n v="48797"/>
    <n v="19603"/>
    <n v="28.66"/>
    <x v="4"/>
    <s v="Agus"/>
    <x v="2"/>
    <x v="0"/>
    <n v="1"/>
  </r>
  <r>
    <x v="486"/>
    <d v="2023-05-15T00:00:00"/>
    <s v="Senin"/>
    <x v="11"/>
    <s v="Q2"/>
    <n v="2023"/>
    <s v="Siang (12-16)"/>
    <s v="Chitato"/>
    <x v="1"/>
    <n v="12000"/>
    <n v="10"/>
    <n v="10"/>
    <n v="108000"/>
    <n v="64300"/>
    <n v="43700"/>
    <n v="40.46"/>
    <x v="3"/>
    <s v="Dewi"/>
    <x v="3"/>
    <x v="0"/>
    <n v="1"/>
  </r>
  <r>
    <x v="487"/>
    <d v="2024-01-03T00:00:00"/>
    <s v="Rabu"/>
    <x v="2"/>
    <s v="Q1"/>
    <n v="2024"/>
    <s v="Malam (20-22)"/>
    <s v="Kopi Kapal Api"/>
    <x v="0"/>
    <n v="12000"/>
    <n v="3"/>
    <n v="10"/>
    <n v="32400"/>
    <n v="22481"/>
    <n v="9919"/>
    <n v="30.61"/>
    <x v="2"/>
    <s v="Siti"/>
    <x v="3"/>
    <x v="1"/>
    <n v="4"/>
  </r>
  <r>
    <x v="488"/>
    <d v="2023-05-21T00:00:00"/>
    <s v="Minggu"/>
    <x v="11"/>
    <s v="Q2"/>
    <n v="2023"/>
    <s v="Siang (12-16)"/>
    <s v="Oreo"/>
    <x v="1"/>
    <n v="10000"/>
    <n v="4"/>
    <n v="0"/>
    <n v="40000"/>
    <n v="24778"/>
    <n v="15222"/>
    <n v="38.049999999999997"/>
    <x v="0"/>
    <s v="Siti"/>
    <x v="1"/>
    <x v="0"/>
    <n v="2"/>
  </r>
  <r>
    <x v="489"/>
    <d v="2023-03-09T00:00:00"/>
    <s v="Kamis"/>
    <x v="3"/>
    <s v="Q1"/>
    <n v="2023"/>
    <s v="Malam (20-22)"/>
    <s v="Indomie Goreng"/>
    <x v="1"/>
    <n v="3500"/>
    <n v="10"/>
    <n v="5"/>
    <n v="33250"/>
    <n v="22176"/>
    <n v="11074"/>
    <n v="33.31"/>
    <x v="2"/>
    <s v="Budi"/>
    <x v="1"/>
    <x v="0"/>
    <n v="5"/>
  </r>
  <r>
    <x v="490"/>
    <d v="2024-01-25T00:00:00"/>
    <s v="Kamis"/>
    <x v="2"/>
    <s v="Q1"/>
    <n v="2024"/>
    <s v="Pagi (08-12)"/>
    <s v="Deterjen Rinso"/>
    <x v="2"/>
    <n v="22000"/>
    <n v="10"/>
    <n v="15"/>
    <n v="187000"/>
    <n v="121032"/>
    <n v="65968"/>
    <n v="35.28"/>
    <x v="3"/>
    <s v="Dewi"/>
    <x v="0"/>
    <x v="1"/>
    <n v="4"/>
  </r>
  <r>
    <x v="491"/>
    <d v="2023-02-13T00:00:00"/>
    <s v="Senin"/>
    <x v="5"/>
    <s v="Q1"/>
    <n v="2023"/>
    <s v="Pagi (08-12)"/>
    <s v="Cheetos"/>
    <x v="1"/>
    <n v="11000"/>
    <n v="9"/>
    <n v="5"/>
    <n v="94050"/>
    <n v="67457"/>
    <n v="26593"/>
    <n v="28.28"/>
    <x v="0"/>
    <s v="Dewi"/>
    <x v="1"/>
    <x v="0"/>
    <n v="3"/>
  </r>
  <r>
    <x v="492"/>
    <d v="2024-03-26T00:00:00"/>
    <s v="Selasa"/>
    <x v="3"/>
    <s v="Q1"/>
    <n v="2024"/>
    <s v="Siang (12-16)"/>
    <s v="Royco Ayam"/>
    <x v="4"/>
    <n v="5000"/>
    <n v="5"/>
    <n v="5"/>
    <n v="23750"/>
    <n v="13735"/>
    <n v="10015"/>
    <n v="42.17"/>
    <x v="4"/>
    <s v="Dewi"/>
    <x v="0"/>
    <x v="1"/>
    <n v="4"/>
  </r>
  <r>
    <x v="493"/>
    <d v="2023-04-03T00:00:00"/>
    <s v="Senin"/>
    <x v="1"/>
    <s v="Q2"/>
    <n v="2023"/>
    <s v="Malam (20-22)"/>
    <s v="Pelembab Vaseline"/>
    <x v="3"/>
    <n v="25000"/>
    <n v="3"/>
    <n v="20"/>
    <n v="60000"/>
    <n v="38972"/>
    <n v="21028"/>
    <n v="35.049999999999997"/>
    <x v="3"/>
    <s v="Budi"/>
    <x v="1"/>
    <x v="1"/>
    <n v="4"/>
  </r>
  <r>
    <x v="494"/>
    <d v="2023-01-26T00:00:00"/>
    <s v="Kamis"/>
    <x v="2"/>
    <s v="Q1"/>
    <n v="2023"/>
    <s v="Sore (16-20)"/>
    <s v="Indomie Goreng"/>
    <x v="1"/>
    <n v="3500"/>
    <n v="10"/>
    <n v="15"/>
    <n v="29750"/>
    <n v="20893"/>
    <n v="8857"/>
    <n v="29.77"/>
    <x v="2"/>
    <s v="Rina"/>
    <x v="2"/>
    <x v="0"/>
    <n v="1"/>
  </r>
  <r>
    <x v="495"/>
    <d v="2023-04-04T00:00:00"/>
    <s v="Selasa"/>
    <x v="1"/>
    <s v="Q2"/>
    <n v="2023"/>
    <s v="Siang (12-16)"/>
    <s v="Kopi Kapal Api"/>
    <x v="0"/>
    <n v="12000"/>
    <n v="6"/>
    <n v="0"/>
    <n v="72000"/>
    <n v="46012"/>
    <n v="25988"/>
    <n v="36.090000000000003"/>
    <x v="2"/>
    <s v="Dewi"/>
    <x v="4"/>
    <x v="1"/>
    <n v="5"/>
  </r>
  <r>
    <x v="496"/>
    <d v="2024-01-25T00:00:00"/>
    <s v="Kamis"/>
    <x v="2"/>
    <s v="Q1"/>
    <n v="2024"/>
    <s v="Siang (12-16)"/>
    <s v="Teh Botol"/>
    <x v="0"/>
    <n v="6000"/>
    <n v="6"/>
    <n v="10"/>
    <n v="32400"/>
    <n v="22619"/>
    <n v="9781"/>
    <n v="30.19"/>
    <x v="1"/>
    <s v="Budi"/>
    <x v="3"/>
    <x v="0"/>
    <n v="4"/>
  </r>
  <r>
    <x v="497"/>
    <d v="2023-11-12T00:00:00"/>
    <s v="Minggu"/>
    <x v="10"/>
    <s v="Q4"/>
    <n v="2023"/>
    <s v="Sore (16-20)"/>
    <s v="Deterjen Rinso"/>
    <x v="2"/>
    <n v="22000"/>
    <n v="5"/>
    <n v="15"/>
    <n v="93500"/>
    <n v="54297"/>
    <n v="39203"/>
    <n v="41.93"/>
    <x v="1"/>
    <s v="Budi"/>
    <x v="0"/>
    <x v="0"/>
    <n v="4"/>
  </r>
  <r>
    <x v="498"/>
    <d v="2024-05-24T00:00:00"/>
    <s v="Jumat"/>
    <x v="11"/>
    <s v="Q2"/>
    <n v="2024"/>
    <s v="Malam (20-22)"/>
    <s v="Gula Pasir 1kg"/>
    <x v="4"/>
    <n v="16000"/>
    <n v="1"/>
    <n v="10"/>
    <n v="14400"/>
    <n v="10081"/>
    <n v="4319"/>
    <n v="29.99"/>
    <x v="1"/>
    <s v="Budi"/>
    <x v="4"/>
    <x v="1"/>
    <n v="4"/>
  </r>
  <r>
    <x v="499"/>
    <d v="2024-03-28T00:00:00"/>
    <s v="Kamis"/>
    <x v="3"/>
    <s v="Q1"/>
    <n v="2024"/>
    <s v="Siang (12-16)"/>
    <s v="Susu Ultra"/>
    <x v="0"/>
    <n v="9000"/>
    <n v="10"/>
    <n v="0"/>
    <n v="90000"/>
    <n v="53244"/>
    <n v="36756"/>
    <n v="40.840000000000003"/>
    <x v="3"/>
    <s v="Siti"/>
    <x v="4"/>
    <x v="0"/>
    <n v="2"/>
  </r>
  <r>
    <x v="500"/>
    <d v="2023-06-01T00:00:00"/>
    <s v="Kamis"/>
    <x v="7"/>
    <s v="Q2"/>
    <n v="2023"/>
    <s v="Sore (16-20)"/>
    <s v="Pocari Sweat"/>
    <x v="0"/>
    <n v="8000"/>
    <n v="1"/>
    <n v="0"/>
    <n v="8000"/>
    <n v="5561"/>
    <n v="2439"/>
    <n v="30.49"/>
    <x v="3"/>
    <s v="Dewi"/>
    <x v="2"/>
    <x v="0"/>
    <n v="1"/>
  </r>
  <r>
    <x v="501"/>
    <d v="2023-04-22T00:00:00"/>
    <s v="Sabtu"/>
    <x v="1"/>
    <s v="Q2"/>
    <n v="2023"/>
    <s v="Siang (12-16)"/>
    <s v="Saos Sambal"/>
    <x v="4"/>
    <n v="10000"/>
    <n v="3"/>
    <n v="15"/>
    <n v="25500"/>
    <n v="15258"/>
    <n v="10242"/>
    <n v="40.159999999999997"/>
    <x v="3"/>
    <s v="Dewi"/>
    <x v="4"/>
    <x v="1"/>
    <n v="5"/>
  </r>
  <r>
    <x v="502"/>
    <d v="2024-01-04T00:00:00"/>
    <s v="Kamis"/>
    <x v="2"/>
    <s v="Q1"/>
    <n v="2024"/>
    <s v="Pagi (08-12)"/>
    <s v="Aqua 1.5L"/>
    <x v="0"/>
    <n v="5000"/>
    <n v="5"/>
    <n v="0"/>
    <n v="25000"/>
    <n v="15316"/>
    <n v="9684"/>
    <n v="38.74"/>
    <x v="2"/>
    <s v="Rina"/>
    <x v="1"/>
    <x v="1"/>
    <n v="4"/>
  </r>
  <r>
    <x v="503"/>
    <d v="2023-05-18T00:00:00"/>
    <s v="Kamis"/>
    <x v="11"/>
    <s v="Q2"/>
    <n v="2023"/>
    <s v="Pagi (08-12)"/>
    <s v="Pocari Sweat"/>
    <x v="0"/>
    <n v="8000"/>
    <n v="6"/>
    <n v="10"/>
    <n v="43200"/>
    <n v="26799"/>
    <n v="16401"/>
    <n v="37.97"/>
    <x v="1"/>
    <s v="Budi"/>
    <x v="4"/>
    <x v="0"/>
    <n v="5"/>
  </r>
  <r>
    <x v="504"/>
    <d v="2024-10-06T00:00:00"/>
    <s v="Minggu"/>
    <x v="0"/>
    <s v="Q4"/>
    <n v="2024"/>
    <s v="Sore (16-20)"/>
    <s v="Pelembab Vaseline"/>
    <x v="3"/>
    <n v="25000"/>
    <n v="8"/>
    <n v="15"/>
    <n v="170000"/>
    <n v="113402"/>
    <n v="56598"/>
    <n v="33.29"/>
    <x v="4"/>
    <s v="Agus"/>
    <x v="4"/>
    <x v="1"/>
    <n v="5"/>
  </r>
  <r>
    <x v="505"/>
    <d v="2024-08-11T00:00:00"/>
    <s v="Minggu"/>
    <x v="9"/>
    <s v="Q3"/>
    <n v="2024"/>
    <s v="Siang (12-16)"/>
    <s v="Lip Balm Nivea"/>
    <x v="3"/>
    <n v="18000"/>
    <n v="3"/>
    <n v="10"/>
    <n v="48600"/>
    <n v="31378"/>
    <n v="17222"/>
    <n v="35.44"/>
    <x v="3"/>
    <s v="Agus"/>
    <x v="1"/>
    <x v="0"/>
    <n v="3"/>
  </r>
  <r>
    <x v="506"/>
    <d v="2023-07-18T00:00:00"/>
    <s v="Selasa"/>
    <x v="4"/>
    <s v="Q3"/>
    <n v="2023"/>
    <s v="Malam (20-22)"/>
    <s v="Aqua 1.5L"/>
    <x v="0"/>
    <n v="5000"/>
    <n v="1"/>
    <n v="5"/>
    <n v="4750"/>
    <n v="3118"/>
    <n v="1632"/>
    <n v="34.36"/>
    <x v="0"/>
    <s v="Budi"/>
    <x v="4"/>
    <x v="1"/>
    <n v="1"/>
  </r>
  <r>
    <x v="507"/>
    <d v="2023-12-08T00:00:00"/>
    <s v="Jumat"/>
    <x v="8"/>
    <s v="Q4"/>
    <n v="2023"/>
    <s v="Sore (16-20)"/>
    <s v="Softex"/>
    <x v="2"/>
    <n v="18000"/>
    <n v="4"/>
    <n v="0"/>
    <n v="72000"/>
    <n v="47441"/>
    <n v="24559"/>
    <n v="34.11"/>
    <x v="4"/>
    <s v="Siti"/>
    <x v="0"/>
    <x v="1"/>
    <n v="5"/>
  </r>
  <r>
    <x v="508"/>
    <d v="2024-07-17T00:00:00"/>
    <s v="Rabu"/>
    <x v="4"/>
    <s v="Q3"/>
    <n v="2024"/>
    <s v="Pagi (08-12)"/>
    <s v="Sabun Lifebuoy"/>
    <x v="2"/>
    <n v="8000"/>
    <n v="2"/>
    <n v="15"/>
    <n v="13600"/>
    <n v="8251"/>
    <n v="5349"/>
    <n v="39.33"/>
    <x v="2"/>
    <s v="Dewi"/>
    <x v="4"/>
    <x v="0"/>
    <n v="2"/>
  </r>
  <r>
    <x v="509"/>
    <d v="2023-12-05T00:00:00"/>
    <s v="Selasa"/>
    <x v="8"/>
    <s v="Q4"/>
    <n v="2023"/>
    <s v="Malam (20-22)"/>
    <s v="Deterjen Rinso"/>
    <x v="2"/>
    <n v="22000"/>
    <n v="8"/>
    <n v="20"/>
    <n v="140800"/>
    <n v="78291"/>
    <n v="62509"/>
    <n v="44.4"/>
    <x v="1"/>
    <s v="Agus"/>
    <x v="3"/>
    <x v="1"/>
    <n v="4"/>
  </r>
  <r>
    <x v="510"/>
    <d v="2024-02-28T00:00:00"/>
    <s v="Rabu"/>
    <x v="5"/>
    <s v="Q1"/>
    <n v="2024"/>
    <s v="Pagi (08-12)"/>
    <s v="Susu Ultra"/>
    <x v="0"/>
    <n v="9000"/>
    <n v="5"/>
    <n v="10"/>
    <n v="40500"/>
    <n v="27266"/>
    <n v="13234"/>
    <n v="32.68"/>
    <x v="4"/>
    <s v="Dewi"/>
    <x v="4"/>
    <x v="0"/>
    <n v="5"/>
  </r>
  <r>
    <x v="511"/>
    <d v="2024-12-02T00:00:00"/>
    <s v="Senin"/>
    <x v="8"/>
    <s v="Q4"/>
    <n v="2024"/>
    <s v="Siang (12-16)"/>
    <s v="Pasta Gigi Pepsodent"/>
    <x v="2"/>
    <n v="12000"/>
    <n v="2"/>
    <n v="0"/>
    <n v="24000"/>
    <n v="14344"/>
    <n v="9656"/>
    <n v="40.229999999999997"/>
    <x v="0"/>
    <s v="Siti"/>
    <x v="1"/>
    <x v="1"/>
    <n v="2"/>
  </r>
  <r>
    <x v="512"/>
    <d v="2024-09-01T00:00:00"/>
    <s v="Minggu"/>
    <x v="6"/>
    <s v="Q3"/>
    <n v="2024"/>
    <s v="Siang (12-16)"/>
    <s v="Pocari Sweat"/>
    <x v="0"/>
    <n v="8000"/>
    <n v="6"/>
    <n v="15"/>
    <n v="40800"/>
    <n v="22659"/>
    <n v="18141"/>
    <n v="44.46"/>
    <x v="2"/>
    <s v="Rina"/>
    <x v="1"/>
    <x v="1"/>
    <n v="4"/>
  </r>
  <r>
    <x v="513"/>
    <d v="2023-11-06T00:00:00"/>
    <s v="Senin"/>
    <x v="10"/>
    <s v="Q4"/>
    <n v="2023"/>
    <s v="Malam (20-22)"/>
    <s v="Cheetos"/>
    <x v="1"/>
    <n v="11000"/>
    <n v="5"/>
    <n v="0"/>
    <n v="55000"/>
    <n v="31299"/>
    <n v="23701"/>
    <n v="43.09"/>
    <x v="0"/>
    <s v="Budi"/>
    <x v="0"/>
    <x v="0"/>
    <n v="4"/>
  </r>
  <r>
    <x v="514"/>
    <d v="2024-05-27T00:00:00"/>
    <s v="Senin"/>
    <x v="11"/>
    <s v="Q2"/>
    <n v="2024"/>
    <s v="Siang (12-16)"/>
    <s v="Oreo"/>
    <x v="1"/>
    <n v="10000"/>
    <n v="6"/>
    <n v="5"/>
    <n v="57000"/>
    <n v="38447"/>
    <n v="18553"/>
    <n v="32.549999999999997"/>
    <x v="3"/>
    <s v="Siti"/>
    <x v="2"/>
    <x v="0"/>
    <n v="5"/>
  </r>
  <r>
    <x v="515"/>
    <d v="2024-11-23T00:00:00"/>
    <s v="Sabtu"/>
    <x v="10"/>
    <s v="Q4"/>
    <n v="2024"/>
    <s v="Sore (16-20)"/>
    <s v="Oreo"/>
    <x v="1"/>
    <n v="10000"/>
    <n v="1"/>
    <n v="5"/>
    <n v="9500"/>
    <n v="5851"/>
    <n v="3649"/>
    <n v="38.409999999999997"/>
    <x v="3"/>
    <s v="Rina"/>
    <x v="0"/>
    <x v="0"/>
    <n v="5"/>
  </r>
  <r>
    <x v="516"/>
    <d v="2023-03-31T00:00:00"/>
    <s v="Jumat"/>
    <x v="3"/>
    <s v="Q1"/>
    <n v="2023"/>
    <s v="Sore (16-20)"/>
    <s v="Deterjen Rinso"/>
    <x v="2"/>
    <n v="22000"/>
    <n v="1"/>
    <n v="0"/>
    <n v="22000"/>
    <n v="14047"/>
    <n v="7953"/>
    <n v="36.15"/>
    <x v="4"/>
    <s v="Rina"/>
    <x v="4"/>
    <x v="0"/>
    <n v="3"/>
  </r>
  <r>
    <x v="517"/>
    <d v="2023-07-25T00:00:00"/>
    <s v="Selasa"/>
    <x v="4"/>
    <s v="Q3"/>
    <n v="2023"/>
    <s v="Siang (12-16)"/>
    <s v="Qtela"/>
    <x v="1"/>
    <n v="14000"/>
    <n v="5"/>
    <n v="10"/>
    <n v="63000"/>
    <n v="38068"/>
    <n v="24932"/>
    <n v="39.57"/>
    <x v="2"/>
    <s v="Rina"/>
    <x v="2"/>
    <x v="0"/>
    <n v="3"/>
  </r>
  <r>
    <x v="518"/>
    <d v="2023-04-28T00:00:00"/>
    <s v="Jumat"/>
    <x v="1"/>
    <s v="Q2"/>
    <n v="2023"/>
    <s v="Sore (16-20)"/>
    <s v="Susu Ultra"/>
    <x v="0"/>
    <n v="9000"/>
    <n v="9"/>
    <n v="10"/>
    <n v="72900"/>
    <n v="41364"/>
    <n v="31536"/>
    <n v="43.26"/>
    <x v="3"/>
    <s v="Siti"/>
    <x v="4"/>
    <x v="1"/>
    <n v="2"/>
  </r>
  <r>
    <x v="519"/>
    <d v="2024-12-22T00:00:00"/>
    <s v="Minggu"/>
    <x v="8"/>
    <s v="Q4"/>
    <n v="2024"/>
    <s v="Malam (20-22)"/>
    <s v="Softex"/>
    <x v="2"/>
    <n v="18000"/>
    <n v="4"/>
    <n v="0"/>
    <n v="72000"/>
    <n v="40472"/>
    <n v="31528"/>
    <n v="43.79"/>
    <x v="3"/>
    <s v="Siti"/>
    <x v="4"/>
    <x v="0"/>
    <n v="2"/>
  </r>
  <r>
    <x v="520"/>
    <d v="2023-01-30T00:00:00"/>
    <s v="Senin"/>
    <x v="2"/>
    <s v="Q1"/>
    <n v="2023"/>
    <s v="Malam (20-22)"/>
    <s v="Kecap ABC"/>
    <x v="4"/>
    <n v="14000"/>
    <n v="2"/>
    <n v="5"/>
    <n v="26600"/>
    <n v="14873"/>
    <n v="11727"/>
    <n v="44.09"/>
    <x v="2"/>
    <s v="Agus"/>
    <x v="3"/>
    <x v="1"/>
    <n v="3"/>
  </r>
  <r>
    <x v="521"/>
    <d v="2023-12-07T00:00:00"/>
    <s v="Kamis"/>
    <x v="8"/>
    <s v="Q4"/>
    <n v="2023"/>
    <s v="Malam (20-22)"/>
    <s v="Cheetos"/>
    <x v="1"/>
    <n v="11000"/>
    <n v="2"/>
    <n v="20"/>
    <n v="17600"/>
    <n v="11967"/>
    <n v="5633"/>
    <n v="32.01"/>
    <x v="3"/>
    <s v="Budi"/>
    <x v="0"/>
    <x v="0"/>
    <n v="4"/>
  </r>
  <r>
    <x v="522"/>
    <d v="2023-11-14T00:00:00"/>
    <s v="Selasa"/>
    <x v="10"/>
    <s v="Q4"/>
    <n v="2023"/>
    <s v="Malam (20-22)"/>
    <s v="Sania Minyak Goreng"/>
    <x v="4"/>
    <n v="28000"/>
    <n v="4"/>
    <n v="0"/>
    <n v="112000"/>
    <n v="64336"/>
    <n v="47664"/>
    <n v="42.56"/>
    <x v="3"/>
    <s v="Siti"/>
    <x v="2"/>
    <x v="0"/>
    <n v="3"/>
  </r>
  <r>
    <x v="523"/>
    <d v="2023-11-29T00:00:00"/>
    <s v="Rabu"/>
    <x v="10"/>
    <s v="Q4"/>
    <n v="2023"/>
    <s v="Siang (12-16)"/>
    <s v="Sania Minyak Goreng"/>
    <x v="4"/>
    <n v="28000"/>
    <n v="1"/>
    <n v="0"/>
    <n v="28000"/>
    <n v="17663"/>
    <n v="10337"/>
    <n v="36.92"/>
    <x v="4"/>
    <s v="Agus"/>
    <x v="1"/>
    <x v="1"/>
    <n v="3"/>
  </r>
  <r>
    <x v="524"/>
    <d v="2024-09-10T00:00:00"/>
    <s v="Selasa"/>
    <x v="6"/>
    <s v="Q3"/>
    <n v="2024"/>
    <s v="Pagi (08-12)"/>
    <s v="Deodorant Rexona"/>
    <x v="3"/>
    <n v="20000"/>
    <n v="9"/>
    <n v="0"/>
    <n v="180000"/>
    <n v="111414"/>
    <n v="68586"/>
    <n v="38.1"/>
    <x v="0"/>
    <s v="Siti"/>
    <x v="4"/>
    <x v="1"/>
    <n v="5"/>
  </r>
  <r>
    <x v="525"/>
    <d v="2024-04-17T00:00:00"/>
    <s v="Rabu"/>
    <x v="1"/>
    <s v="Q2"/>
    <n v="2024"/>
    <s v="Malam (20-22)"/>
    <s v="Gula Pasir 1kg"/>
    <x v="4"/>
    <n v="16000"/>
    <n v="7"/>
    <n v="0"/>
    <n v="112000"/>
    <n v="73421"/>
    <n v="38579"/>
    <n v="34.450000000000003"/>
    <x v="3"/>
    <s v="Budi"/>
    <x v="1"/>
    <x v="0"/>
    <n v="3"/>
  </r>
  <r>
    <x v="526"/>
    <d v="2023-08-02T00:00:00"/>
    <s v="Rabu"/>
    <x v="9"/>
    <s v="Q3"/>
    <n v="2023"/>
    <s v="Pagi (08-12)"/>
    <s v="Hand Sanitizer"/>
    <x v="3"/>
    <n v="12000"/>
    <n v="7"/>
    <n v="10"/>
    <n v="75600"/>
    <n v="51699"/>
    <n v="23901"/>
    <n v="31.62"/>
    <x v="3"/>
    <s v="Budi"/>
    <x v="3"/>
    <x v="1"/>
    <n v="1"/>
  </r>
  <r>
    <x v="527"/>
    <d v="2024-08-29T00:00:00"/>
    <s v="Kamis"/>
    <x v="9"/>
    <s v="Q3"/>
    <n v="2024"/>
    <s v="Malam (20-22)"/>
    <s v="Hand Sanitizer"/>
    <x v="3"/>
    <n v="12000"/>
    <n v="6"/>
    <n v="10"/>
    <n v="64800"/>
    <n v="36716"/>
    <n v="28084"/>
    <n v="43.34"/>
    <x v="2"/>
    <s v="Budi"/>
    <x v="2"/>
    <x v="0"/>
    <n v="5"/>
  </r>
  <r>
    <x v="528"/>
    <d v="2023-04-22T00:00:00"/>
    <s v="Sabtu"/>
    <x v="1"/>
    <s v="Q2"/>
    <n v="2023"/>
    <s v="Siang (12-16)"/>
    <s v="Hand Sanitizer"/>
    <x v="3"/>
    <n v="12000"/>
    <n v="6"/>
    <n v="5"/>
    <n v="68400"/>
    <n v="45120"/>
    <n v="23280"/>
    <n v="34.04"/>
    <x v="0"/>
    <s v="Rina"/>
    <x v="3"/>
    <x v="0"/>
    <n v="2"/>
  </r>
  <r>
    <x v="529"/>
    <d v="2024-11-07T00:00:00"/>
    <s v="Kamis"/>
    <x v="10"/>
    <s v="Q4"/>
    <n v="2024"/>
    <s v="Siang (12-16)"/>
    <s v="Indomie Goreng"/>
    <x v="1"/>
    <n v="3500"/>
    <n v="9"/>
    <n v="0"/>
    <n v="31500"/>
    <n v="19413"/>
    <n v="12087"/>
    <n v="38.369999999999997"/>
    <x v="3"/>
    <s v="Agus"/>
    <x v="3"/>
    <x v="1"/>
    <n v="3"/>
  </r>
  <r>
    <x v="530"/>
    <d v="2024-08-06T00:00:00"/>
    <s v="Selasa"/>
    <x v="9"/>
    <s v="Q3"/>
    <n v="2024"/>
    <s v="Siang (12-16)"/>
    <s v="Deterjen Rinso"/>
    <x v="2"/>
    <n v="22000"/>
    <n v="6"/>
    <n v="0"/>
    <n v="132000"/>
    <n v="85676"/>
    <n v="46324"/>
    <n v="35.090000000000003"/>
    <x v="3"/>
    <s v="Dewi"/>
    <x v="1"/>
    <x v="1"/>
    <n v="1"/>
  </r>
  <r>
    <x v="531"/>
    <d v="2024-01-14T00:00:00"/>
    <s v="Minggu"/>
    <x v="2"/>
    <s v="Q1"/>
    <n v="2024"/>
    <s v="Pagi (08-12)"/>
    <s v="Pelembab Vaseline"/>
    <x v="3"/>
    <n v="25000"/>
    <n v="1"/>
    <n v="15"/>
    <n v="21250"/>
    <n v="13711"/>
    <n v="7539"/>
    <n v="35.479999999999997"/>
    <x v="4"/>
    <s v="Rina"/>
    <x v="2"/>
    <x v="0"/>
    <n v="4"/>
  </r>
  <r>
    <x v="532"/>
    <d v="2024-12-20T00:00:00"/>
    <s v="Jumat"/>
    <x v="8"/>
    <s v="Q4"/>
    <n v="2024"/>
    <s v="Siang (12-16)"/>
    <s v="Hand Sanitizer"/>
    <x v="3"/>
    <n v="12000"/>
    <n v="6"/>
    <n v="15"/>
    <n v="61200"/>
    <n v="37643"/>
    <n v="23557"/>
    <n v="38.49"/>
    <x v="2"/>
    <s v="Agus"/>
    <x v="4"/>
    <x v="0"/>
    <n v="4"/>
  </r>
  <r>
    <x v="533"/>
    <d v="2023-05-23T00:00:00"/>
    <s v="Selasa"/>
    <x v="11"/>
    <s v="Q2"/>
    <n v="2023"/>
    <s v="Siang (12-16)"/>
    <s v="Cheetos"/>
    <x v="1"/>
    <n v="11000"/>
    <n v="7"/>
    <n v="20"/>
    <n v="61600"/>
    <n v="43561"/>
    <n v="18039"/>
    <n v="29.28"/>
    <x v="2"/>
    <s v="Budi"/>
    <x v="2"/>
    <x v="0"/>
    <n v="1"/>
  </r>
  <r>
    <x v="534"/>
    <d v="2023-03-15T00:00:00"/>
    <s v="Rabu"/>
    <x v="3"/>
    <s v="Q1"/>
    <n v="2023"/>
    <s v="Malam (20-22)"/>
    <s v="Teh Botol"/>
    <x v="0"/>
    <n v="6000"/>
    <n v="8"/>
    <n v="15"/>
    <n v="40800"/>
    <n v="25469"/>
    <n v="15331"/>
    <n v="37.58"/>
    <x v="1"/>
    <s v="Rina"/>
    <x v="3"/>
    <x v="1"/>
    <n v="5"/>
  </r>
  <r>
    <x v="535"/>
    <d v="2024-03-11T00:00:00"/>
    <s v="Senin"/>
    <x v="3"/>
    <s v="Q1"/>
    <n v="2024"/>
    <s v="Siang (12-16)"/>
    <s v="Deodorant Rexona"/>
    <x v="3"/>
    <n v="20000"/>
    <n v="8"/>
    <n v="10"/>
    <n v="144000"/>
    <n v="89583"/>
    <n v="54417"/>
    <n v="37.79"/>
    <x v="2"/>
    <s v="Agus"/>
    <x v="2"/>
    <x v="0"/>
    <n v="4"/>
  </r>
  <r>
    <x v="536"/>
    <d v="2024-09-11T00:00:00"/>
    <s v="Rabu"/>
    <x v="6"/>
    <s v="Q3"/>
    <n v="2024"/>
    <s v="Sore (16-20)"/>
    <s v="Susu Ultra"/>
    <x v="0"/>
    <n v="9000"/>
    <n v="8"/>
    <n v="20"/>
    <n v="57600"/>
    <n v="38837"/>
    <n v="18763"/>
    <n v="32.57"/>
    <x v="3"/>
    <s v="Siti"/>
    <x v="1"/>
    <x v="0"/>
    <n v="1"/>
  </r>
  <r>
    <x v="537"/>
    <d v="2024-08-04T00:00:00"/>
    <s v="Minggu"/>
    <x v="9"/>
    <s v="Q3"/>
    <n v="2024"/>
    <s v="Sore (16-20)"/>
    <s v="Royco Ayam"/>
    <x v="4"/>
    <n v="5000"/>
    <n v="2"/>
    <n v="10"/>
    <n v="9000"/>
    <n v="5687"/>
    <n v="3313"/>
    <n v="36.81"/>
    <x v="0"/>
    <s v="Budi"/>
    <x v="4"/>
    <x v="1"/>
    <n v="5"/>
  </r>
  <r>
    <x v="538"/>
    <d v="2023-03-22T00:00:00"/>
    <s v="Rabu"/>
    <x v="3"/>
    <s v="Q1"/>
    <n v="2023"/>
    <s v="Sore (16-20)"/>
    <s v="Kapas Kecantikan"/>
    <x v="3"/>
    <n v="8000"/>
    <n v="2"/>
    <n v="0"/>
    <n v="16000"/>
    <n v="10085"/>
    <n v="5915"/>
    <n v="36.97"/>
    <x v="0"/>
    <s v="Dewi"/>
    <x v="4"/>
    <x v="0"/>
    <n v="3"/>
  </r>
  <r>
    <x v="539"/>
    <d v="2024-07-01T00:00:00"/>
    <s v="Senin"/>
    <x v="4"/>
    <s v="Q3"/>
    <n v="2024"/>
    <s v="Sore (16-20)"/>
    <s v="Kopi Kapal Api"/>
    <x v="0"/>
    <n v="12000"/>
    <n v="8"/>
    <n v="10"/>
    <n v="86400"/>
    <n v="60828"/>
    <n v="25572"/>
    <n v="29.6"/>
    <x v="3"/>
    <s v="Siti"/>
    <x v="1"/>
    <x v="1"/>
    <n v="3"/>
  </r>
  <r>
    <x v="540"/>
    <d v="2023-06-21T00:00:00"/>
    <s v="Rabu"/>
    <x v="7"/>
    <s v="Q2"/>
    <n v="2023"/>
    <s v="Siang (12-16)"/>
    <s v="Susu Ultra"/>
    <x v="0"/>
    <n v="9000"/>
    <n v="5"/>
    <n v="15"/>
    <n v="38250"/>
    <n v="26142"/>
    <n v="12108"/>
    <n v="31.65"/>
    <x v="4"/>
    <s v="Rina"/>
    <x v="1"/>
    <x v="0"/>
    <n v="3"/>
  </r>
  <r>
    <x v="541"/>
    <d v="2024-10-01T00:00:00"/>
    <s v="Selasa"/>
    <x v="0"/>
    <s v="Q4"/>
    <n v="2024"/>
    <s v="Siang (12-16)"/>
    <s v="Pocari Sweat"/>
    <x v="0"/>
    <n v="8000"/>
    <n v="8"/>
    <n v="0"/>
    <n v="64000"/>
    <n v="36580"/>
    <n v="27420"/>
    <n v="42.84"/>
    <x v="0"/>
    <s v="Siti"/>
    <x v="2"/>
    <x v="1"/>
    <n v="3"/>
  </r>
  <r>
    <x v="542"/>
    <d v="2023-09-21T00:00:00"/>
    <s v="Kamis"/>
    <x v="6"/>
    <s v="Q3"/>
    <n v="2023"/>
    <s v="Siang (12-16)"/>
    <s v="Aqua 1.5L"/>
    <x v="0"/>
    <n v="5000"/>
    <n v="10"/>
    <n v="0"/>
    <n v="50000"/>
    <n v="35236"/>
    <n v="14764"/>
    <n v="29.53"/>
    <x v="1"/>
    <s v="Agus"/>
    <x v="2"/>
    <x v="1"/>
    <n v="2"/>
  </r>
  <r>
    <x v="543"/>
    <d v="2024-05-11T00:00:00"/>
    <s v="Sabtu"/>
    <x v="11"/>
    <s v="Q2"/>
    <n v="2024"/>
    <s v="Malam (20-22)"/>
    <s v="Cheetos"/>
    <x v="1"/>
    <n v="11000"/>
    <n v="1"/>
    <n v="0"/>
    <n v="11000"/>
    <n v="7890"/>
    <n v="3110"/>
    <n v="28.27"/>
    <x v="1"/>
    <s v="Dewi"/>
    <x v="3"/>
    <x v="1"/>
    <n v="4"/>
  </r>
  <r>
    <x v="544"/>
    <d v="2023-09-01T00:00:00"/>
    <s v="Jumat"/>
    <x v="6"/>
    <s v="Q3"/>
    <n v="2023"/>
    <s v="Pagi (08-12)"/>
    <s v="Saos Sambal"/>
    <x v="4"/>
    <n v="10000"/>
    <n v="4"/>
    <n v="10"/>
    <n v="36000"/>
    <n v="24294"/>
    <n v="11706"/>
    <n v="32.520000000000003"/>
    <x v="4"/>
    <s v="Rina"/>
    <x v="2"/>
    <x v="0"/>
    <n v="2"/>
  </r>
  <r>
    <x v="545"/>
    <d v="2024-04-20T00:00:00"/>
    <s v="Sabtu"/>
    <x v="1"/>
    <s v="Q2"/>
    <n v="2024"/>
    <s v="Malam (20-22)"/>
    <s v="Sania Minyak Goreng"/>
    <x v="4"/>
    <n v="28000"/>
    <n v="5"/>
    <n v="5"/>
    <n v="133000"/>
    <n v="90020"/>
    <n v="42980"/>
    <n v="32.32"/>
    <x v="3"/>
    <s v="Budi"/>
    <x v="1"/>
    <x v="1"/>
    <n v="3"/>
  </r>
  <r>
    <x v="546"/>
    <d v="2023-05-29T00:00:00"/>
    <s v="Senin"/>
    <x v="11"/>
    <s v="Q2"/>
    <n v="2023"/>
    <s v="Pagi (08-12)"/>
    <s v="Hand Sanitizer"/>
    <x v="3"/>
    <n v="12000"/>
    <n v="1"/>
    <n v="0"/>
    <n v="12000"/>
    <n v="8492"/>
    <n v="3508"/>
    <n v="29.23"/>
    <x v="2"/>
    <s v="Agus"/>
    <x v="2"/>
    <x v="0"/>
    <n v="5"/>
  </r>
  <r>
    <x v="547"/>
    <d v="2024-10-14T00:00:00"/>
    <s v="Senin"/>
    <x v="0"/>
    <s v="Q4"/>
    <n v="2024"/>
    <s v="Pagi (08-12)"/>
    <s v="Deterjen Rinso"/>
    <x v="2"/>
    <n v="22000"/>
    <n v="10"/>
    <n v="15"/>
    <n v="187000"/>
    <n v="130137"/>
    <n v="56863"/>
    <n v="30.41"/>
    <x v="4"/>
    <s v="Siti"/>
    <x v="2"/>
    <x v="1"/>
    <n v="5"/>
  </r>
  <r>
    <x v="548"/>
    <d v="2024-02-05T00:00:00"/>
    <s v="Senin"/>
    <x v="5"/>
    <s v="Q1"/>
    <n v="2024"/>
    <s v="Pagi (08-12)"/>
    <s v="Saos Sambal"/>
    <x v="4"/>
    <n v="10000"/>
    <n v="10"/>
    <n v="20"/>
    <n v="80000"/>
    <n v="46651"/>
    <n v="33349"/>
    <n v="41.69"/>
    <x v="4"/>
    <s v="Budi"/>
    <x v="2"/>
    <x v="0"/>
    <n v="1"/>
  </r>
  <r>
    <x v="549"/>
    <d v="2023-01-13T00:00:00"/>
    <s v="Jumat"/>
    <x v="2"/>
    <s v="Q1"/>
    <n v="2023"/>
    <s v="Sore (16-20)"/>
    <s v="Kecap ABC"/>
    <x v="4"/>
    <n v="14000"/>
    <n v="9"/>
    <n v="0"/>
    <n v="126000"/>
    <n v="83983"/>
    <n v="42017"/>
    <n v="33.35"/>
    <x v="4"/>
    <s v="Budi"/>
    <x v="2"/>
    <x v="0"/>
    <n v="1"/>
  </r>
  <r>
    <x v="550"/>
    <d v="2023-01-25T00:00:00"/>
    <s v="Rabu"/>
    <x v="2"/>
    <s v="Q1"/>
    <n v="2023"/>
    <s v="Pagi (08-12)"/>
    <s v="Pelembab Vaseline"/>
    <x v="3"/>
    <n v="25000"/>
    <n v="1"/>
    <n v="10"/>
    <n v="22500"/>
    <n v="14887"/>
    <n v="7613"/>
    <n v="33.840000000000003"/>
    <x v="1"/>
    <s v="Dewi"/>
    <x v="0"/>
    <x v="0"/>
    <n v="5"/>
  </r>
  <r>
    <x v="551"/>
    <d v="2023-05-14T00:00:00"/>
    <s v="Minggu"/>
    <x v="11"/>
    <s v="Q2"/>
    <n v="2023"/>
    <s v="Pagi (08-12)"/>
    <s v="Gula Pasir 1kg"/>
    <x v="4"/>
    <n v="16000"/>
    <n v="3"/>
    <n v="0"/>
    <n v="48000"/>
    <n v="32077"/>
    <n v="15923"/>
    <n v="33.17"/>
    <x v="4"/>
    <s v="Siti"/>
    <x v="1"/>
    <x v="1"/>
    <n v="3"/>
  </r>
  <r>
    <x v="552"/>
    <d v="2024-03-13T00:00:00"/>
    <s v="Rabu"/>
    <x v="3"/>
    <s v="Q1"/>
    <n v="2024"/>
    <s v="Sore (16-20)"/>
    <s v="Pasta Gigi Pepsodent"/>
    <x v="2"/>
    <n v="12000"/>
    <n v="3"/>
    <n v="20"/>
    <n v="28800"/>
    <n v="16202"/>
    <n v="12598"/>
    <n v="43.74"/>
    <x v="0"/>
    <s v="Agus"/>
    <x v="1"/>
    <x v="0"/>
    <n v="3"/>
  </r>
  <r>
    <x v="553"/>
    <d v="2023-09-29T00:00:00"/>
    <s v="Jumat"/>
    <x v="6"/>
    <s v="Q3"/>
    <n v="2023"/>
    <s v="Siang (12-16)"/>
    <s v="Indomie Goreng"/>
    <x v="1"/>
    <n v="3500"/>
    <n v="2"/>
    <n v="5"/>
    <n v="6650"/>
    <n v="4765"/>
    <n v="1885"/>
    <n v="28.35"/>
    <x v="1"/>
    <s v="Dewi"/>
    <x v="1"/>
    <x v="1"/>
    <n v="1"/>
  </r>
  <r>
    <x v="554"/>
    <d v="2023-05-28T00:00:00"/>
    <s v="Minggu"/>
    <x v="11"/>
    <s v="Q2"/>
    <n v="2023"/>
    <s v="Pagi (08-12)"/>
    <s v="Hand Sanitizer"/>
    <x v="3"/>
    <n v="12000"/>
    <n v="4"/>
    <n v="10"/>
    <n v="43200"/>
    <n v="28485"/>
    <n v="14715"/>
    <n v="34.06"/>
    <x v="2"/>
    <s v="Siti"/>
    <x v="0"/>
    <x v="0"/>
    <n v="1"/>
  </r>
  <r>
    <x v="555"/>
    <d v="2024-08-08T00:00:00"/>
    <s v="Kamis"/>
    <x v="9"/>
    <s v="Q3"/>
    <n v="2024"/>
    <s v="Sore (16-20)"/>
    <s v="Deterjen Rinso"/>
    <x v="2"/>
    <n v="22000"/>
    <n v="1"/>
    <n v="5"/>
    <n v="20900"/>
    <n v="12024"/>
    <n v="8876"/>
    <n v="42.47"/>
    <x v="0"/>
    <s v="Rina"/>
    <x v="1"/>
    <x v="0"/>
    <n v="3"/>
  </r>
  <r>
    <x v="556"/>
    <d v="2024-02-05T00:00:00"/>
    <s v="Senin"/>
    <x v="5"/>
    <s v="Q1"/>
    <n v="2024"/>
    <s v="Malam (20-22)"/>
    <s v="Pelembab Vaseline"/>
    <x v="3"/>
    <n v="25000"/>
    <n v="9"/>
    <n v="15"/>
    <n v="191250"/>
    <n v="135746"/>
    <n v="55504"/>
    <n v="29.02"/>
    <x v="2"/>
    <s v="Agus"/>
    <x v="1"/>
    <x v="0"/>
    <n v="5"/>
  </r>
  <r>
    <x v="557"/>
    <d v="2023-08-20T00:00:00"/>
    <s v="Minggu"/>
    <x v="9"/>
    <s v="Q3"/>
    <n v="2023"/>
    <s v="Malam (20-22)"/>
    <s v="Kopi Kapal Api"/>
    <x v="0"/>
    <n v="12000"/>
    <n v="8"/>
    <n v="0"/>
    <n v="96000"/>
    <n v="62057"/>
    <n v="33943"/>
    <n v="35.36"/>
    <x v="4"/>
    <s v="Siti"/>
    <x v="2"/>
    <x v="0"/>
    <n v="1"/>
  </r>
  <r>
    <x v="558"/>
    <d v="2024-01-10T00:00:00"/>
    <s v="Rabu"/>
    <x v="2"/>
    <s v="Q1"/>
    <n v="2024"/>
    <s v="Pagi (08-12)"/>
    <s v="Lip Balm Nivea"/>
    <x v="3"/>
    <n v="18000"/>
    <n v="2"/>
    <n v="20"/>
    <n v="28800"/>
    <n v="18090"/>
    <n v="10710"/>
    <n v="37.19"/>
    <x v="4"/>
    <s v="Budi"/>
    <x v="3"/>
    <x v="1"/>
    <n v="2"/>
  </r>
  <r>
    <x v="559"/>
    <d v="2023-11-03T00:00:00"/>
    <s v="Jumat"/>
    <x v="10"/>
    <s v="Q4"/>
    <n v="2023"/>
    <s v="Pagi (08-12)"/>
    <s v="Kecap ABC"/>
    <x v="4"/>
    <n v="14000"/>
    <n v="6"/>
    <n v="5"/>
    <n v="79800"/>
    <n v="45041"/>
    <n v="34759"/>
    <n v="43.56"/>
    <x v="2"/>
    <s v="Budi"/>
    <x v="3"/>
    <x v="0"/>
    <n v="1"/>
  </r>
  <r>
    <x v="560"/>
    <d v="2024-08-30T00:00:00"/>
    <s v="Jumat"/>
    <x v="9"/>
    <s v="Q3"/>
    <n v="2024"/>
    <s v="Malam (20-22)"/>
    <s v="Indomie Goreng"/>
    <x v="1"/>
    <n v="3500"/>
    <n v="7"/>
    <n v="0"/>
    <n v="24500"/>
    <n v="16777"/>
    <n v="7723"/>
    <n v="31.52"/>
    <x v="4"/>
    <s v="Agus"/>
    <x v="4"/>
    <x v="0"/>
    <n v="1"/>
  </r>
  <r>
    <x v="561"/>
    <d v="2023-12-14T00:00:00"/>
    <s v="Kamis"/>
    <x v="8"/>
    <s v="Q4"/>
    <n v="2023"/>
    <s v="Siang (12-16)"/>
    <s v="Pocari Sweat"/>
    <x v="0"/>
    <n v="8000"/>
    <n v="1"/>
    <n v="5"/>
    <n v="7600"/>
    <n v="4333"/>
    <n v="3267"/>
    <n v="42.99"/>
    <x v="3"/>
    <s v="Agus"/>
    <x v="4"/>
    <x v="0"/>
    <n v="1"/>
  </r>
  <r>
    <x v="562"/>
    <d v="2023-02-07T00:00:00"/>
    <s v="Selasa"/>
    <x v="5"/>
    <s v="Q1"/>
    <n v="2023"/>
    <s v="Siang (12-16)"/>
    <s v="Indomie Goreng"/>
    <x v="1"/>
    <n v="3500"/>
    <n v="1"/>
    <n v="5"/>
    <n v="3325"/>
    <n v="2342"/>
    <n v="983"/>
    <n v="29.56"/>
    <x v="3"/>
    <s v="Rina"/>
    <x v="3"/>
    <x v="0"/>
    <n v="2"/>
  </r>
  <r>
    <x v="563"/>
    <d v="2024-10-09T00:00:00"/>
    <s v="Rabu"/>
    <x v="0"/>
    <s v="Q4"/>
    <n v="2024"/>
    <s v="Pagi (08-12)"/>
    <s v="Pocari Sweat"/>
    <x v="0"/>
    <n v="8000"/>
    <n v="2"/>
    <n v="5"/>
    <n v="15200"/>
    <n v="9939"/>
    <n v="5261"/>
    <n v="34.61"/>
    <x v="3"/>
    <s v="Rina"/>
    <x v="0"/>
    <x v="1"/>
    <n v="5"/>
  </r>
  <r>
    <x v="564"/>
    <d v="2024-09-22T00:00:00"/>
    <s v="Minggu"/>
    <x v="6"/>
    <s v="Q3"/>
    <n v="2024"/>
    <s v="Siang (12-16)"/>
    <s v="Chitato"/>
    <x v="1"/>
    <n v="12000"/>
    <n v="4"/>
    <n v="5"/>
    <n v="45600"/>
    <n v="27695"/>
    <n v="17905"/>
    <n v="39.270000000000003"/>
    <x v="2"/>
    <s v="Siti"/>
    <x v="0"/>
    <x v="1"/>
    <n v="2"/>
  </r>
  <r>
    <x v="565"/>
    <d v="2023-02-16T00:00:00"/>
    <s v="Kamis"/>
    <x v="5"/>
    <s v="Q1"/>
    <n v="2023"/>
    <s v="Sore (16-20)"/>
    <s v="Deodorant Rexona"/>
    <x v="3"/>
    <n v="20000"/>
    <n v="6"/>
    <n v="0"/>
    <n v="120000"/>
    <n v="68463"/>
    <n v="51537"/>
    <n v="42.95"/>
    <x v="1"/>
    <s v="Agus"/>
    <x v="3"/>
    <x v="0"/>
    <n v="4"/>
  </r>
  <r>
    <x v="566"/>
    <d v="2023-09-07T00:00:00"/>
    <s v="Kamis"/>
    <x v="6"/>
    <s v="Q3"/>
    <n v="2023"/>
    <s v="Pagi (08-12)"/>
    <s v="Pelembab Vaseline"/>
    <x v="3"/>
    <n v="25000"/>
    <n v="3"/>
    <n v="0"/>
    <n v="75000"/>
    <n v="51336"/>
    <n v="23664"/>
    <n v="31.55"/>
    <x v="3"/>
    <s v="Agus"/>
    <x v="3"/>
    <x v="1"/>
    <n v="1"/>
  </r>
  <r>
    <x v="567"/>
    <d v="2023-01-07T00:00:00"/>
    <s v="Sabtu"/>
    <x v="2"/>
    <s v="Q1"/>
    <n v="2023"/>
    <s v="Siang (12-16)"/>
    <s v="Teh Botol"/>
    <x v="0"/>
    <n v="6000"/>
    <n v="2"/>
    <n v="15"/>
    <n v="10200"/>
    <n v="6740"/>
    <n v="3460"/>
    <n v="33.92"/>
    <x v="4"/>
    <s v="Agus"/>
    <x v="1"/>
    <x v="0"/>
    <n v="2"/>
  </r>
  <r>
    <x v="568"/>
    <d v="2024-10-17T00:00:00"/>
    <s v="Kamis"/>
    <x v="0"/>
    <s v="Q4"/>
    <n v="2024"/>
    <s v="Siang (12-16)"/>
    <s v="Softex"/>
    <x v="2"/>
    <n v="18000"/>
    <n v="8"/>
    <n v="5"/>
    <n v="136800"/>
    <n v="80804"/>
    <n v="55996"/>
    <n v="40.93"/>
    <x v="1"/>
    <s v="Dewi"/>
    <x v="0"/>
    <x v="1"/>
    <n v="5"/>
  </r>
  <r>
    <x v="569"/>
    <d v="2023-04-01T00:00:00"/>
    <s v="Sabtu"/>
    <x v="1"/>
    <s v="Q2"/>
    <n v="2023"/>
    <s v="Pagi (08-12)"/>
    <s v="Pasta Gigi Pepsodent"/>
    <x v="2"/>
    <n v="12000"/>
    <n v="7"/>
    <n v="0"/>
    <n v="84000"/>
    <n v="54164"/>
    <n v="29836"/>
    <n v="35.520000000000003"/>
    <x v="1"/>
    <s v="Rina"/>
    <x v="4"/>
    <x v="1"/>
    <n v="5"/>
  </r>
  <r>
    <x v="570"/>
    <d v="2024-06-03T00:00:00"/>
    <s v="Senin"/>
    <x v="7"/>
    <s v="Q2"/>
    <n v="2024"/>
    <s v="Malam (20-22)"/>
    <s v="Indomie Goreng"/>
    <x v="1"/>
    <n v="3500"/>
    <n v="4"/>
    <n v="0"/>
    <n v="14000"/>
    <n v="7826"/>
    <n v="6174"/>
    <n v="44.1"/>
    <x v="0"/>
    <s v="Budi"/>
    <x v="1"/>
    <x v="0"/>
    <n v="2"/>
  </r>
  <r>
    <x v="571"/>
    <d v="2024-11-17T00:00:00"/>
    <s v="Minggu"/>
    <x v="10"/>
    <s v="Q4"/>
    <n v="2024"/>
    <s v="Malam (20-22)"/>
    <s v="Aqua 1.5L"/>
    <x v="0"/>
    <n v="5000"/>
    <n v="6"/>
    <n v="0"/>
    <n v="30000"/>
    <n v="17569"/>
    <n v="12431"/>
    <n v="41.44"/>
    <x v="4"/>
    <s v="Siti"/>
    <x v="4"/>
    <x v="0"/>
    <n v="1"/>
  </r>
  <r>
    <x v="572"/>
    <d v="2023-02-23T00:00:00"/>
    <s v="Kamis"/>
    <x v="5"/>
    <s v="Q1"/>
    <n v="2023"/>
    <s v="Siang (12-16)"/>
    <s v="Deodorant Rexona"/>
    <x v="3"/>
    <n v="20000"/>
    <n v="3"/>
    <n v="20"/>
    <n v="48000"/>
    <n v="26637"/>
    <n v="21363"/>
    <n v="44.51"/>
    <x v="3"/>
    <s v="Rina"/>
    <x v="0"/>
    <x v="1"/>
    <n v="5"/>
  </r>
  <r>
    <x v="573"/>
    <d v="2024-08-16T00:00:00"/>
    <s v="Jumat"/>
    <x v="9"/>
    <s v="Q3"/>
    <n v="2024"/>
    <s v="Sore (16-20)"/>
    <s v="Deterjen Rinso"/>
    <x v="2"/>
    <n v="22000"/>
    <n v="4"/>
    <n v="15"/>
    <n v="74800"/>
    <n v="49747"/>
    <n v="25053"/>
    <n v="33.49"/>
    <x v="4"/>
    <s v="Budi"/>
    <x v="0"/>
    <x v="0"/>
    <n v="1"/>
  </r>
  <r>
    <x v="574"/>
    <d v="2023-08-31T00:00:00"/>
    <s v="Kamis"/>
    <x v="9"/>
    <s v="Q3"/>
    <n v="2023"/>
    <s v="Malam (20-22)"/>
    <s v="Saos Sambal"/>
    <x v="4"/>
    <n v="10000"/>
    <n v="7"/>
    <n v="0"/>
    <n v="70000"/>
    <n v="39375"/>
    <n v="30625"/>
    <n v="43.75"/>
    <x v="3"/>
    <s v="Agus"/>
    <x v="0"/>
    <x v="0"/>
    <n v="2"/>
  </r>
  <r>
    <x v="575"/>
    <d v="2024-09-16T00:00:00"/>
    <s v="Senin"/>
    <x v="6"/>
    <s v="Q3"/>
    <n v="2024"/>
    <s v="Siang (12-16)"/>
    <s v="Saos Sambal"/>
    <x v="4"/>
    <n v="10000"/>
    <n v="7"/>
    <n v="0"/>
    <n v="70000"/>
    <n v="40123"/>
    <n v="29877"/>
    <n v="42.68"/>
    <x v="1"/>
    <s v="Siti"/>
    <x v="2"/>
    <x v="1"/>
    <n v="2"/>
  </r>
  <r>
    <x v="576"/>
    <d v="2023-02-02T00:00:00"/>
    <s v="Kamis"/>
    <x v="5"/>
    <s v="Q1"/>
    <n v="2023"/>
    <s v="Siang (12-16)"/>
    <s v="Pelembab Vaseline"/>
    <x v="3"/>
    <n v="25000"/>
    <n v="5"/>
    <n v="0"/>
    <n v="125000"/>
    <n v="71111"/>
    <n v="53889"/>
    <n v="43.11"/>
    <x v="2"/>
    <s v="Agus"/>
    <x v="1"/>
    <x v="1"/>
    <n v="2"/>
  </r>
  <r>
    <x v="577"/>
    <d v="2023-10-30T00:00:00"/>
    <s v="Senin"/>
    <x v="0"/>
    <s v="Q4"/>
    <n v="2023"/>
    <s v="Malam (20-22)"/>
    <s v="Deodorant Rexona"/>
    <x v="3"/>
    <n v="20000"/>
    <n v="10"/>
    <n v="0"/>
    <n v="200000"/>
    <n v="129656"/>
    <n v="70344"/>
    <n v="35.17"/>
    <x v="3"/>
    <s v="Budi"/>
    <x v="0"/>
    <x v="1"/>
    <n v="2"/>
  </r>
  <r>
    <x v="578"/>
    <d v="2024-08-28T00:00:00"/>
    <s v="Rabu"/>
    <x v="9"/>
    <s v="Q3"/>
    <n v="2024"/>
    <s v="Malam (20-22)"/>
    <s v="Sania Minyak Goreng"/>
    <x v="4"/>
    <n v="28000"/>
    <n v="5"/>
    <n v="0"/>
    <n v="140000"/>
    <n v="94374"/>
    <n v="45626"/>
    <n v="32.590000000000003"/>
    <x v="1"/>
    <s v="Budi"/>
    <x v="2"/>
    <x v="0"/>
    <n v="5"/>
  </r>
  <r>
    <x v="579"/>
    <d v="2023-06-02T00:00:00"/>
    <s v="Jumat"/>
    <x v="7"/>
    <s v="Q2"/>
    <n v="2023"/>
    <s v="Malam (20-22)"/>
    <s v="Pelembab Vaseline"/>
    <x v="3"/>
    <n v="25000"/>
    <n v="7"/>
    <n v="0"/>
    <n v="175000"/>
    <n v="97442"/>
    <n v="77558"/>
    <n v="44.32"/>
    <x v="2"/>
    <s v="Dewi"/>
    <x v="0"/>
    <x v="1"/>
    <n v="4"/>
  </r>
  <r>
    <x v="580"/>
    <d v="2024-12-14T00:00:00"/>
    <s v="Sabtu"/>
    <x v="8"/>
    <s v="Q4"/>
    <n v="2024"/>
    <s v="Siang (12-16)"/>
    <s v="Kopi Kapal Api"/>
    <x v="0"/>
    <n v="12000"/>
    <n v="8"/>
    <n v="0"/>
    <n v="96000"/>
    <n v="54156"/>
    <n v="41844"/>
    <n v="43.59"/>
    <x v="0"/>
    <s v="Agus"/>
    <x v="3"/>
    <x v="1"/>
    <n v="3"/>
  </r>
  <r>
    <x v="581"/>
    <d v="2023-09-02T00:00:00"/>
    <s v="Sabtu"/>
    <x v="6"/>
    <s v="Q3"/>
    <n v="2023"/>
    <s v="Pagi (08-12)"/>
    <s v="Aqua 1.5L"/>
    <x v="0"/>
    <n v="5000"/>
    <n v="8"/>
    <n v="15"/>
    <n v="34000"/>
    <n v="20462"/>
    <n v="13538"/>
    <n v="39.82"/>
    <x v="2"/>
    <s v="Dewi"/>
    <x v="4"/>
    <x v="1"/>
    <n v="4"/>
  </r>
  <r>
    <x v="582"/>
    <d v="2023-05-22T00:00:00"/>
    <s v="Senin"/>
    <x v="11"/>
    <s v="Q2"/>
    <n v="2023"/>
    <s v="Sore (16-20)"/>
    <s v="Saos Sambal"/>
    <x v="4"/>
    <n v="10000"/>
    <n v="6"/>
    <n v="15"/>
    <n v="51000"/>
    <n v="32075"/>
    <n v="18925"/>
    <n v="37.11"/>
    <x v="0"/>
    <s v="Rina"/>
    <x v="1"/>
    <x v="0"/>
    <n v="3"/>
  </r>
  <r>
    <x v="583"/>
    <d v="2024-03-12T00:00:00"/>
    <s v="Selasa"/>
    <x v="3"/>
    <s v="Q1"/>
    <n v="2024"/>
    <s v="Pagi (08-12)"/>
    <s v="Softex"/>
    <x v="2"/>
    <n v="18000"/>
    <n v="9"/>
    <n v="10"/>
    <n v="145800"/>
    <n v="99882"/>
    <n v="45918"/>
    <n v="31.49"/>
    <x v="0"/>
    <s v="Dewi"/>
    <x v="2"/>
    <x v="1"/>
    <n v="1"/>
  </r>
  <r>
    <x v="584"/>
    <d v="2023-04-24T00:00:00"/>
    <s v="Senin"/>
    <x v="1"/>
    <s v="Q2"/>
    <n v="2023"/>
    <s v="Pagi (08-12)"/>
    <s v="Royco Ayam"/>
    <x v="4"/>
    <n v="5000"/>
    <n v="8"/>
    <n v="10"/>
    <n v="36000"/>
    <n v="20050"/>
    <n v="15950"/>
    <n v="44.31"/>
    <x v="4"/>
    <s v="Budi"/>
    <x v="4"/>
    <x v="0"/>
    <n v="2"/>
  </r>
  <r>
    <x v="585"/>
    <d v="2023-12-09T00:00:00"/>
    <s v="Sabtu"/>
    <x v="8"/>
    <s v="Q4"/>
    <n v="2023"/>
    <s v="Sore (16-20)"/>
    <s v="Cheetos"/>
    <x v="1"/>
    <n v="11000"/>
    <n v="2"/>
    <n v="15"/>
    <n v="18700"/>
    <n v="11806"/>
    <n v="6894"/>
    <n v="36.869999999999997"/>
    <x v="3"/>
    <s v="Budi"/>
    <x v="3"/>
    <x v="1"/>
    <n v="3"/>
  </r>
  <r>
    <x v="586"/>
    <d v="2024-05-30T00:00:00"/>
    <s v="Kamis"/>
    <x v="11"/>
    <s v="Q2"/>
    <n v="2024"/>
    <s v="Pagi (08-12)"/>
    <s v="Royco Ayam"/>
    <x v="4"/>
    <n v="5000"/>
    <n v="1"/>
    <n v="0"/>
    <n v="5000"/>
    <n v="3067"/>
    <n v="1933"/>
    <n v="38.659999999999997"/>
    <x v="2"/>
    <s v="Agus"/>
    <x v="4"/>
    <x v="1"/>
    <n v="5"/>
  </r>
  <r>
    <x v="587"/>
    <d v="2024-11-25T00:00:00"/>
    <s v="Senin"/>
    <x v="10"/>
    <s v="Q4"/>
    <n v="2024"/>
    <s v="Pagi (08-12)"/>
    <s v="Lip Balm Nivea"/>
    <x v="3"/>
    <n v="18000"/>
    <n v="8"/>
    <n v="10"/>
    <n v="129600"/>
    <n v="79391"/>
    <n v="50209"/>
    <n v="38.74"/>
    <x v="0"/>
    <s v="Budi"/>
    <x v="1"/>
    <x v="0"/>
    <n v="4"/>
  </r>
  <r>
    <x v="588"/>
    <d v="2023-07-03T00:00:00"/>
    <s v="Senin"/>
    <x v="4"/>
    <s v="Q3"/>
    <n v="2023"/>
    <s v="Siang (12-16)"/>
    <s v="Sabun Lifebuoy"/>
    <x v="2"/>
    <n v="8000"/>
    <n v="2"/>
    <n v="0"/>
    <n v="16000"/>
    <n v="9551"/>
    <n v="6449"/>
    <n v="40.31"/>
    <x v="1"/>
    <s v="Agus"/>
    <x v="3"/>
    <x v="0"/>
    <n v="3"/>
  </r>
  <r>
    <x v="589"/>
    <d v="2024-03-02T00:00:00"/>
    <s v="Sabtu"/>
    <x v="3"/>
    <s v="Q1"/>
    <n v="2024"/>
    <s v="Pagi (08-12)"/>
    <s v="Deodorant Rexona"/>
    <x v="3"/>
    <n v="20000"/>
    <n v="8"/>
    <n v="0"/>
    <n v="160000"/>
    <n v="99428"/>
    <n v="60572"/>
    <n v="37.86"/>
    <x v="0"/>
    <s v="Siti"/>
    <x v="3"/>
    <x v="0"/>
    <n v="2"/>
  </r>
  <r>
    <x v="590"/>
    <d v="2024-06-16T00:00:00"/>
    <s v="Minggu"/>
    <x v="7"/>
    <s v="Q2"/>
    <n v="2024"/>
    <s v="Malam (20-22)"/>
    <s v="Deterjen Rinso"/>
    <x v="2"/>
    <n v="22000"/>
    <n v="10"/>
    <n v="0"/>
    <n v="220000"/>
    <n v="145525"/>
    <n v="74475"/>
    <n v="33.85"/>
    <x v="4"/>
    <s v="Agus"/>
    <x v="4"/>
    <x v="1"/>
    <n v="3"/>
  </r>
  <r>
    <x v="591"/>
    <d v="2024-08-03T00:00:00"/>
    <s v="Sabtu"/>
    <x v="9"/>
    <s v="Q3"/>
    <n v="2024"/>
    <s v="Pagi (08-12)"/>
    <s v="Qtela"/>
    <x v="1"/>
    <n v="14000"/>
    <n v="3"/>
    <n v="20"/>
    <n v="33600"/>
    <n v="19965"/>
    <n v="13635"/>
    <n v="40.58"/>
    <x v="2"/>
    <s v="Siti"/>
    <x v="2"/>
    <x v="0"/>
    <n v="3"/>
  </r>
  <r>
    <x v="592"/>
    <d v="2023-10-19T00:00:00"/>
    <s v="Kamis"/>
    <x v="0"/>
    <s v="Q4"/>
    <n v="2023"/>
    <s v="Siang (12-16)"/>
    <s v="Saos Sambal"/>
    <x v="4"/>
    <n v="10000"/>
    <n v="10"/>
    <n v="0"/>
    <n v="100000"/>
    <n v="67101"/>
    <n v="32899"/>
    <n v="32.9"/>
    <x v="4"/>
    <s v="Budi"/>
    <x v="3"/>
    <x v="0"/>
    <n v="2"/>
  </r>
  <r>
    <x v="593"/>
    <d v="2023-04-30T00:00:00"/>
    <s v="Minggu"/>
    <x v="1"/>
    <s v="Q2"/>
    <n v="2023"/>
    <s v="Pagi (08-12)"/>
    <s v="Pocari Sweat"/>
    <x v="0"/>
    <n v="8000"/>
    <n v="10"/>
    <n v="0"/>
    <n v="80000"/>
    <n v="49996"/>
    <n v="30004"/>
    <n v="37.51"/>
    <x v="4"/>
    <s v="Budi"/>
    <x v="3"/>
    <x v="1"/>
    <n v="3"/>
  </r>
  <r>
    <x v="594"/>
    <d v="2023-06-01T00:00:00"/>
    <s v="Kamis"/>
    <x v="7"/>
    <s v="Q2"/>
    <n v="2023"/>
    <s v="Malam (20-22)"/>
    <s v="Deterjen Rinso"/>
    <x v="2"/>
    <n v="22000"/>
    <n v="9"/>
    <n v="0"/>
    <n v="198000"/>
    <n v="126862"/>
    <n v="71138"/>
    <n v="35.93"/>
    <x v="0"/>
    <s v="Rina"/>
    <x v="1"/>
    <x v="0"/>
    <n v="4"/>
  </r>
  <r>
    <x v="595"/>
    <d v="2023-11-24T00:00:00"/>
    <s v="Jumat"/>
    <x v="10"/>
    <s v="Q4"/>
    <n v="2023"/>
    <s v="Siang (12-16)"/>
    <s v="Chitato"/>
    <x v="1"/>
    <n v="12000"/>
    <n v="9"/>
    <n v="10"/>
    <n v="97200"/>
    <n v="58934"/>
    <n v="38266"/>
    <n v="39.369999999999997"/>
    <x v="4"/>
    <s v="Agus"/>
    <x v="2"/>
    <x v="1"/>
    <n v="3"/>
  </r>
  <r>
    <x v="596"/>
    <d v="2024-12-06T00:00:00"/>
    <s v="Jumat"/>
    <x v="8"/>
    <s v="Q4"/>
    <n v="2024"/>
    <s v="Malam (20-22)"/>
    <s v="Kopi Kapal Api"/>
    <x v="0"/>
    <n v="12000"/>
    <n v="1"/>
    <n v="0"/>
    <n v="12000"/>
    <n v="7983"/>
    <n v="4017"/>
    <n v="33.479999999999997"/>
    <x v="0"/>
    <s v="Siti"/>
    <x v="0"/>
    <x v="0"/>
    <n v="4"/>
  </r>
  <r>
    <x v="597"/>
    <d v="2024-01-01T00:00:00"/>
    <s v="Senin"/>
    <x v="2"/>
    <s v="Q1"/>
    <n v="2024"/>
    <s v="Sore (16-20)"/>
    <s v="Pocari Sweat"/>
    <x v="0"/>
    <n v="8000"/>
    <n v="1"/>
    <n v="10"/>
    <n v="7200"/>
    <n v="4745"/>
    <n v="2455"/>
    <n v="34.1"/>
    <x v="3"/>
    <s v="Dewi"/>
    <x v="3"/>
    <x v="0"/>
    <n v="1"/>
  </r>
  <r>
    <x v="598"/>
    <d v="2023-03-27T00:00:00"/>
    <s v="Senin"/>
    <x v="3"/>
    <s v="Q1"/>
    <n v="2023"/>
    <s v="Pagi (08-12)"/>
    <s v="Hand Sanitizer"/>
    <x v="3"/>
    <n v="12000"/>
    <n v="2"/>
    <n v="10"/>
    <n v="21600"/>
    <n v="13328"/>
    <n v="8272"/>
    <n v="38.299999999999997"/>
    <x v="2"/>
    <s v="Siti"/>
    <x v="4"/>
    <x v="1"/>
    <n v="4"/>
  </r>
  <r>
    <x v="599"/>
    <d v="2023-06-01T00:00:00"/>
    <s v="Kamis"/>
    <x v="7"/>
    <s v="Q2"/>
    <n v="2023"/>
    <s v="Malam (20-22)"/>
    <s v="Royco Ayam"/>
    <x v="4"/>
    <n v="5000"/>
    <n v="7"/>
    <n v="0"/>
    <n v="35000"/>
    <n v="19323"/>
    <n v="15677"/>
    <n v="44.79"/>
    <x v="4"/>
    <s v="Siti"/>
    <x v="2"/>
    <x v="0"/>
    <n v="2"/>
  </r>
  <r>
    <x v="600"/>
    <d v="2024-03-30T00:00:00"/>
    <s v="Sabtu"/>
    <x v="3"/>
    <s v="Q1"/>
    <n v="2024"/>
    <s v="Pagi (08-12)"/>
    <s v="Sania Minyak Goreng"/>
    <x v="4"/>
    <n v="28000"/>
    <n v="5"/>
    <n v="0"/>
    <n v="140000"/>
    <n v="96175"/>
    <n v="43825"/>
    <n v="31.3"/>
    <x v="2"/>
    <s v="Agus"/>
    <x v="3"/>
    <x v="0"/>
    <n v="2"/>
  </r>
  <r>
    <x v="601"/>
    <d v="2023-11-07T00:00:00"/>
    <s v="Selasa"/>
    <x v="10"/>
    <s v="Q4"/>
    <n v="2023"/>
    <s v="Pagi (08-12)"/>
    <s v="Gula Pasir 1kg"/>
    <x v="4"/>
    <n v="16000"/>
    <n v="6"/>
    <n v="0"/>
    <n v="96000"/>
    <n v="68029"/>
    <n v="27971"/>
    <n v="29.14"/>
    <x v="3"/>
    <s v="Agus"/>
    <x v="0"/>
    <x v="1"/>
    <n v="3"/>
  </r>
  <r>
    <x v="602"/>
    <d v="2024-02-29T00:00:00"/>
    <s v="Kamis"/>
    <x v="5"/>
    <s v="Q1"/>
    <n v="2024"/>
    <s v="Malam (20-22)"/>
    <s v="Cheetos"/>
    <x v="1"/>
    <n v="11000"/>
    <n v="8"/>
    <n v="15"/>
    <n v="74800"/>
    <n v="48362"/>
    <n v="26438"/>
    <n v="35.340000000000003"/>
    <x v="1"/>
    <s v="Budi"/>
    <x v="3"/>
    <x v="1"/>
    <n v="5"/>
  </r>
  <r>
    <x v="603"/>
    <d v="2024-05-17T00:00:00"/>
    <s v="Jumat"/>
    <x v="11"/>
    <s v="Q2"/>
    <n v="2024"/>
    <s v="Pagi (08-12)"/>
    <s v="Pocari Sweat"/>
    <x v="0"/>
    <n v="8000"/>
    <n v="10"/>
    <n v="0"/>
    <n v="80000"/>
    <n v="50720"/>
    <n v="29280"/>
    <n v="36.6"/>
    <x v="2"/>
    <s v="Budi"/>
    <x v="0"/>
    <x v="0"/>
    <n v="3"/>
  </r>
  <r>
    <x v="604"/>
    <d v="2023-11-04T00:00:00"/>
    <s v="Sabtu"/>
    <x v="10"/>
    <s v="Q4"/>
    <n v="2023"/>
    <s v="Sore (16-20)"/>
    <s v="Kecap ABC"/>
    <x v="4"/>
    <n v="14000"/>
    <n v="5"/>
    <n v="5"/>
    <n v="66500"/>
    <n v="38603"/>
    <n v="27897"/>
    <n v="41.95"/>
    <x v="1"/>
    <s v="Rina"/>
    <x v="0"/>
    <x v="1"/>
    <n v="1"/>
  </r>
  <r>
    <x v="605"/>
    <d v="2024-09-05T00:00:00"/>
    <s v="Kamis"/>
    <x v="6"/>
    <s v="Q3"/>
    <n v="2024"/>
    <s v="Sore (16-20)"/>
    <s v="Softex"/>
    <x v="2"/>
    <n v="18000"/>
    <n v="8"/>
    <n v="10"/>
    <n v="129600"/>
    <n v="80887"/>
    <n v="48713"/>
    <n v="37.590000000000003"/>
    <x v="4"/>
    <s v="Agus"/>
    <x v="0"/>
    <x v="0"/>
    <n v="3"/>
  </r>
  <r>
    <x v="606"/>
    <d v="2023-06-16T00:00:00"/>
    <s v="Jumat"/>
    <x v="7"/>
    <s v="Q2"/>
    <n v="2023"/>
    <s v="Pagi (08-12)"/>
    <s v="Pelembab Vaseline"/>
    <x v="3"/>
    <n v="25000"/>
    <n v="3"/>
    <n v="0"/>
    <n v="75000"/>
    <n v="47128"/>
    <n v="27872"/>
    <n v="37.159999999999997"/>
    <x v="1"/>
    <s v="Siti"/>
    <x v="3"/>
    <x v="1"/>
    <n v="3"/>
  </r>
  <r>
    <x v="607"/>
    <d v="2024-03-05T00:00:00"/>
    <s v="Selasa"/>
    <x v="3"/>
    <s v="Q1"/>
    <n v="2024"/>
    <s v="Siang (12-16)"/>
    <s v="Sabun Lifebuoy"/>
    <x v="2"/>
    <n v="8000"/>
    <n v="5"/>
    <n v="0"/>
    <n v="40000"/>
    <n v="25601"/>
    <n v="14399"/>
    <n v="36"/>
    <x v="0"/>
    <s v="Dewi"/>
    <x v="3"/>
    <x v="0"/>
    <n v="5"/>
  </r>
  <r>
    <x v="608"/>
    <d v="2023-06-21T00:00:00"/>
    <s v="Rabu"/>
    <x v="7"/>
    <s v="Q2"/>
    <n v="2023"/>
    <s v="Pagi (08-12)"/>
    <s v="Lip Balm Nivea"/>
    <x v="3"/>
    <n v="18000"/>
    <n v="6"/>
    <n v="20"/>
    <n v="86400"/>
    <n v="59931"/>
    <n v="26469"/>
    <n v="30.64"/>
    <x v="4"/>
    <s v="Siti"/>
    <x v="2"/>
    <x v="1"/>
    <n v="2"/>
  </r>
  <r>
    <x v="609"/>
    <d v="2023-01-14T00:00:00"/>
    <s v="Sabtu"/>
    <x v="2"/>
    <s v="Q1"/>
    <n v="2023"/>
    <s v="Pagi (08-12)"/>
    <s v="Cheetos"/>
    <x v="1"/>
    <n v="11000"/>
    <n v="5"/>
    <n v="0"/>
    <n v="55000"/>
    <n v="37532"/>
    <n v="17468"/>
    <n v="31.76"/>
    <x v="2"/>
    <s v="Siti"/>
    <x v="3"/>
    <x v="0"/>
    <n v="2"/>
  </r>
  <r>
    <x v="610"/>
    <d v="2024-05-30T00:00:00"/>
    <s v="Kamis"/>
    <x v="11"/>
    <s v="Q2"/>
    <n v="2024"/>
    <s v="Pagi (08-12)"/>
    <s v="Oreo"/>
    <x v="1"/>
    <n v="10000"/>
    <n v="9"/>
    <n v="10"/>
    <n v="81000"/>
    <n v="54047"/>
    <n v="26953"/>
    <n v="33.28"/>
    <x v="3"/>
    <s v="Dewi"/>
    <x v="4"/>
    <x v="1"/>
    <n v="4"/>
  </r>
  <r>
    <x v="611"/>
    <d v="2023-03-20T00:00:00"/>
    <s v="Senin"/>
    <x v="3"/>
    <s v="Q1"/>
    <n v="2023"/>
    <s v="Sore (16-20)"/>
    <s v="Teh Botol"/>
    <x v="0"/>
    <n v="6000"/>
    <n v="1"/>
    <n v="5"/>
    <n v="5700"/>
    <n v="3472"/>
    <n v="2228"/>
    <n v="39.090000000000003"/>
    <x v="4"/>
    <s v="Budi"/>
    <x v="1"/>
    <x v="0"/>
    <n v="3"/>
  </r>
  <r>
    <x v="612"/>
    <d v="2023-01-30T00:00:00"/>
    <s v="Senin"/>
    <x v="2"/>
    <s v="Q1"/>
    <n v="2023"/>
    <s v="Siang (12-16)"/>
    <s v="Teh Botol"/>
    <x v="0"/>
    <n v="6000"/>
    <n v="3"/>
    <n v="20"/>
    <n v="14400"/>
    <n v="9620"/>
    <n v="4780"/>
    <n v="33.19"/>
    <x v="1"/>
    <s v="Siti"/>
    <x v="3"/>
    <x v="0"/>
    <n v="1"/>
  </r>
  <r>
    <x v="613"/>
    <d v="2024-03-11T00:00:00"/>
    <s v="Senin"/>
    <x v="3"/>
    <s v="Q1"/>
    <n v="2024"/>
    <s v="Pagi (08-12)"/>
    <s v="Aqua 1.5L"/>
    <x v="0"/>
    <n v="5000"/>
    <n v="1"/>
    <n v="20"/>
    <n v="4000"/>
    <n v="2529"/>
    <n v="1471"/>
    <n v="36.78"/>
    <x v="2"/>
    <s v="Rina"/>
    <x v="3"/>
    <x v="0"/>
    <n v="5"/>
  </r>
  <r>
    <x v="614"/>
    <d v="2024-08-30T00:00:00"/>
    <s v="Jumat"/>
    <x v="9"/>
    <s v="Q3"/>
    <n v="2024"/>
    <s v="Pagi (08-12)"/>
    <s v="Kopi Kapal Api"/>
    <x v="0"/>
    <n v="12000"/>
    <n v="2"/>
    <n v="0"/>
    <n v="24000"/>
    <n v="13377"/>
    <n v="10623"/>
    <n v="44.26"/>
    <x v="4"/>
    <s v="Rina"/>
    <x v="0"/>
    <x v="0"/>
    <n v="5"/>
  </r>
  <r>
    <x v="615"/>
    <d v="2023-07-24T00:00:00"/>
    <s v="Senin"/>
    <x v="4"/>
    <s v="Q3"/>
    <n v="2023"/>
    <s v="Sore (16-20)"/>
    <s v="Qtela"/>
    <x v="1"/>
    <n v="14000"/>
    <n v="1"/>
    <n v="0"/>
    <n v="14000"/>
    <n v="8046"/>
    <n v="5954"/>
    <n v="42.53"/>
    <x v="4"/>
    <s v="Dewi"/>
    <x v="2"/>
    <x v="0"/>
    <n v="5"/>
  </r>
  <r>
    <x v="616"/>
    <d v="2024-09-19T00:00:00"/>
    <s v="Kamis"/>
    <x v="6"/>
    <s v="Q3"/>
    <n v="2024"/>
    <s v="Siang (12-16)"/>
    <s v="Cheetos"/>
    <x v="1"/>
    <n v="11000"/>
    <n v="10"/>
    <n v="0"/>
    <n v="110000"/>
    <n v="62353"/>
    <n v="47647"/>
    <n v="43.32"/>
    <x v="3"/>
    <s v="Rina"/>
    <x v="4"/>
    <x v="0"/>
    <n v="3"/>
  </r>
  <r>
    <x v="617"/>
    <d v="2023-06-25T00:00:00"/>
    <s v="Minggu"/>
    <x v="7"/>
    <s v="Q2"/>
    <n v="2023"/>
    <s v="Siang (12-16)"/>
    <s v="Pelembab Vaseline"/>
    <x v="3"/>
    <n v="25000"/>
    <n v="2"/>
    <n v="0"/>
    <n v="50000"/>
    <n v="35324"/>
    <n v="14676"/>
    <n v="29.35"/>
    <x v="2"/>
    <s v="Siti"/>
    <x v="4"/>
    <x v="1"/>
    <n v="1"/>
  </r>
  <r>
    <x v="618"/>
    <d v="2023-07-05T00:00:00"/>
    <s v="Rabu"/>
    <x v="4"/>
    <s v="Q3"/>
    <n v="2023"/>
    <s v="Pagi (08-12)"/>
    <s v="Deterjen Rinso"/>
    <x v="2"/>
    <n v="22000"/>
    <n v="7"/>
    <n v="0"/>
    <n v="154000"/>
    <n v="98163"/>
    <n v="55837"/>
    <n v="36.26"/>
    <x v="2"/>
    <s v="Rina"/>
    <x v="2"/>
    <x v="1"/>
    <n v="1"/>
  </r>
  <r>
    <x v="619"/>
    <d v="2024-06-16T00:00:00"/>
    <s v="Minggu"/>
    <x v="7"/>
    <s v="Q2"/>
    <n v="2024"/>
    <s v="Malam (20-22)"/>
    <s v="Indomie Goreng"/>
    <x v="1"/>
    <n v="3500"/>
    <n v="6"/>
    <n v="15"/>
    <n v="17850"/>
    <n v="10692"/>
    <n v="7158"/>
    <n v="40.1"/>
    <x v="0"/>
    <s v="Rina"/>
    <x v="2"/>
    <x v="0"/>
    <n v="4"/>
  </r>
  <r>
    <x v="620"/>
    <d v="2023-10-18T00:00:00"/>
    <s v="Rabu"/>
    <x v="0"/>
    <s v="Q4"/>
    <n v="2023"/>
    <s v="Malam (20-22)"/>
    <s v="Gula Pasir 1kg"/>
    <x v="4"/>
    <n v="16000"/>
    <n v="5"/>
    <n v="15"/>
    <n v="68000"/>
    <n v="48685"/>
    <n v="19315"/>
    <n v="28.4"/>
    <x v="2"/>
    <s v="Budi"/>
    <x v="4"/>
    <x v="1"/>
    <n v="4"/>
  </r>
  <r>
    <x v="621"/>
    <d v="2023-07-13T00:00:00"/>
    <s v="Kamis"/>
    <x v="4"/>
    <s v="Q3"/>
    <n v="2023"/>
    <s v="Malam (20-22)"/>
    <s v="Kopi Kapal Api"/>
    <x v="0"/>
    <n v="12000"/>
    <n v="6"/>
    <n v="0"/>
    <n v="72000"/>
    <n v="39756"/>
    <n v="32244"/>
    <n v="44.78"/>
    <x v="2"/>
    <s v="Rina"/>
    <x v="1"/>
    <x v="0"/>
    <n v="1"/>
  </r>
  <r>
    <x v="622"/>
    <d v="2023-05-27T00:00:00"/>
    <s v="Sabtu"/>
    <x v="11"/>
    <s v="Q2"/>
    <n v="2023"/>
    <s v="Siang (12-16)"/>
    <s v="Sania Minyak Goreng"/>
    <x v="4"/>
    <n v="28000"/>
    <n v="10"/>
    <n v="0"/>
    <n v="280000"/>
    <n v="189292"/>
    <n v="90708"/>
    <n v="32.4"/>
    <x v="1"/>
    <s v="Rina"/>
    <x v="2"/>
    <x v="1"/>
    <n v="2"/>
  </r>
  <r>
    <x v="623"/>
    <d v="2024-09-01T00:00:00"/>
    <s v="Minggu"/>
    <x v="6"/>
    <s v="Q3"/>
    <n v="2024"/>
    <s v="Sore (16-20)"/>
    <s v="Kecap ABC"/>
    <x v="4"/>
    <n v="14000"/>
    <n v="4"/>
    <n v="20"/>
    <n v="44800"/>
    <n v="27875"/>
    <n v="16925"/>
    <n v="37.78"/>
    <x v="2"/>
    <s v="Siti"/>
    <x v="4"/>
    <x v="1"/>
    <n v="3"/>
  </r>
  <r>
    <x v="624"/>
    <d v="2024-05-02T00:00:00"/>
    <s v="Kamis"/>
    <x v="11"/>
    <s v="Q2"/>
    <n v="2024"/>
    <s v="Sore (16-20)"/>
    <s v="Hand Sanitizer"/>
    <x v="3"/>
    <n v="12000"/>
    <n v="8"/>
    <n v="10"/>
    <n v="86400"/>
    <n v="51616"/>
    <n v="34784"/>
    <n v="40.26"/>
    <x v="2"/>
    <s v="Rina"/>
    <x v="0"/>
    <x v="1"/>
    <n v="4"/>
  </r>
  <r>
    <x v="625"/>
    <d v="2023-08-25T00:00:00"/>
    <s v="Jumat"/>
    <x v="9"/>
    <s v="Q3"/>
    <n v="2023"/>
    <s v="Siang (12-16)"/>
    <s v="Chitato"/>
    <x v="1"/>
    <n v="12000"/>
    <n v="2"/>
    <n v="15"/>
    <n v="20400"/>
    <n v="11403"/>
    <n v="8997"/>
    <n v="44.1"/>
    <x v="0"/>
    <s v="Agus"/>
    <x v="0"/>
    <x v="1"/>
    <n v="5"/>
  </r>
  <r>
    <x v="626"/>
    <d v="2024-11-26T00:00:00"/>
    <s v="Selasa"/>
    <x v="10"/>
    <s v="Q4"/>
    <n v="2024"/>
    <s v="Malam (20-22)"/>
    <s v="Shampo Sunsilk"/>
    <x v="2"/>
    <n v="15000"/>
    <n v="5"/>
    <n v="10"/>
    <n v="67500"/>
    <n v="44277"/>
    <n v="23223"/>
    <n v="34.4"/>
    <x v="0"/>
    <s v="Dewi"/>
    <x v="1"/>
    <x v="0"/>
    <n v="3"/>
  </r>
  <r>
    <x v="627"/>
    <d v="2024-11-08T00:00:00"/>
    <s v="Jumat"/>
    <x v="10"/>
    <s v="Q4"/>
    <n v="2024"/>
    <s v="Pagi (08-12)"/>
    <s v="Sania Minyak Goreng"/>
    <x v="4"/>
    <n v="28000"/>
    <n v="9"/>
    <n v="0"/>
    <n v="252000"/>
    <n v="161838"/>
    <n v="90162"/>
    <n v="35.78"/>
    <x v="3"/>
    <s v="Dewi"/>
    <x v="0"/>
    <x v="1"/>
    <n v="1"/>
  </r>
  <r>
    <x v="628"/>
    <d v="2024-01-28T00:00:00"/>
    <s v="Minggu"/>
    <x v="2"/>
    <s v="Q1"/>
    <n v="2024"/>
    <s v="Sore (16-20)"/>
    <s v="Royco Ayam"/>
    <x v="4"/>
    <n v="5000"/>
    <n v="7"/>
    <n v="5"/>
    <n v="33250"/>
    <n v="20886"/>
    <n v="12364"/>
    <n v="37.18"/>
    <x v="0"/>
    <s v="Budi"/>
    <x v="4"/>
    <x v="0"/>
    <n v="4"/>
  </r>
  <r>
    <x v="629"/>
    <d v="2024-03-17T00:00:00"/>
    <s v="Minggu"/>
    <x v="3"/>
    <s v="Q1"/>
    <n v="2024"/>
    <s v="Malam (20-22)"/>
    <s v="Qtela"/>
    <x v="1"/>
    <n v="14000"/>
    <n v="7"/>
    <n v="5"/>
    <n v="93100"/>
    <n v="63297"/>
    <n v="29803"/>
    <n v="32.01"/>
    <x v="3"/>
    <s v="Agus"/>
    <x v="4"/>
    <x v="1"/>
    <n v="5"/>
  </r>
  <r>
    <x v="630"/>
    <d v="2023-06-10T00:00:00"/>
    <s v="Sabtu"/>
    <x v="7"/>
    <s v="Q2"/>
    <n v="2023"/>
    <s v="Sore (16-20)"/>
    <s v="Pelembab Vaseline"/>
    <x v="3"/>
    <n v="25000"/>
    <n v="7"/>
    <n v="0"/>
    <n v="175000"/>
    <n v="110967"/>
    <n v="64033"/>
    <n v="36.590000000000003"/>
    <x v="2"/>
    <s v="Dewi"/>
    <x v="2"/>
    <x v="1"/>
    <n v="1"/>
  </r>
  <r>
    <x v="631"/>
    <d v="2023-01-29T00:00:00"/>
    <s v="Minggu"/>
    <x v="2"/>
    <s v="Q1"/>
    <n v="2023"/>
    <s v="Malam (20-22)"/>
    <s v="Pelembab Vaseline"/>
    <x v="3"/>
    <n v="25000"/>
    <n v="3"/>
    <n v="20"/>
    <n v="60000"/>
    <n v="36737"/>
    <n v="23263"/>
    <n v="38.770000000000003"/>
    <x v="3"/>
    <s v="Rina"/>
    <x v="2"/>
    <x v="0"/>
    <n v="4"/>
  </r>
  <r>
    <x v="632"/>
    <d v="2023-12-20T00:00:00"/>
    <s v="Rabu"/>
    <x v="8"/>
    <s v="Q4"/>
    <n v="2023"/>
    <s v="Pagi (08-12)"/>
    <s v="Deterjen Rinso"/>
    <x v="2"/>
    <n v="22000"/>
    <n v="6"/>
    <n v="0"/>
    <n v="132000"/>
    <n v="87438"/>
    <n v="44562"/>
    <n v="33.76"/>
    <x v="1"/>
    <s v="Budi"/>
    <x v="2"/>
    <x v="0"/>
    <n v="3"/>
  </r>
  <r>
    <x v="633"/>
    <d v="2023-04-28T00:00:00"/>
    <s v="Jumat"/>
    <x v="1"/>
    <s v="Q2"/>
    <n v="2023"/>
    <s v="Malam (20-22)"/>
    <s v="Shampo Sunsilk"/>
    <x v="2"/>
    <n v="15000"/>
    <n v="1"/>
    <n v="10"/>
    <n v="13500"/>
    <n v="8173"/>
    <n v="5327"/>
    <n v="39.46"/>
    <x v="2"/>
    <s v="Agus"/>
    <x v="4"/>
    <x v="1"/>
    <n v="1"/>
  </r>
  <r>
    <x v="634"/>
    <d v="2024-12-13T00:00:00"/>
    <s v="Jumat"/>
    <x v="8"/>
    <s v="Q4"/>
    <n v="2024"/>
    <s v="Pagi (08-12)"/>
    <s v="Gula Pasir 1kg"/>
    <x v="4"/>
    <n v="16000"/>
    <n v="1"/>
    <n v="0"/>
    <n v="16000"/>
    <n v="9827"/>
    <n v="6173"/>
    <n v="38.58"/>
    <x v="2"/>
    <s v="Siti"/>
    <x v="4"/>
    <x v="1"/>
    <n v="1"/>
  </r>
  <r>
    <x v="635"/>
    <d v="2024-12-08T00:00:00"/>
    <s v="Minggu"/>
    <x v="8"/>
    <s v="Q4"/>
    <n v="2024"/>
    <s v="Sore (16-20)"/>
    <s v="Qtela"/>
    <x v="1"/>
    <n v="14000"/>
    <n v="8"/>
    <n v="10"/>
    <n v="100800"/>
    <n v="69345"/>
    <n v="31455"/>
    <n v="31.21"/>
    <x v="4"/>
    <s v="Budi"/>
    <x v="4"/>
    <x v="1"/>
    <n v="4"/>
  </r>
  <r>
    <x v="636"/>
    <d v="2023-07-26T00:00:00"/>
    <s v="Rabu"/>
    <x v="4"/>
    <s v="Q3"/>
    <n v="2023"/>
    <s v="Malam (20-22)"/>
    <s v="Kecap ABC"/>
    <x v="4"/>
    <n v="14000"/>
    <n v="9"/>
    <n v="0"/>
    <n v="126000"/>
    <n v="75455"/>
    <n v="50545"/>
    <n v="40.119999999999997"/>
    <x v="0"/>
    <s v="Siti"/>
    <x v="4"/>
    <x v="0"/>
    <n v="5"/>
  </r>
  <r>
    <x v="637"/>
    <d v="2023-04-05T00:00:00"/>
    <s v="Rabu"/>
    <x v="1"/>
    <s v="Q2"/>
    <n v="2023"/>
    <s v="Malam (20-22)"/>
    <s v="Pelembab Vaseline"/>
    <x v="3"/>
    <n v="25000"/>
    <n v="10"/>
    <n v="0"/>
    <n v="250000"/>
    <n v="149118"/>
    <n v="100882"/>
    <n v="40.35"/>
    <x v="3"/>
    <s v="Dewi"/>
    <x v="1"/>
    <x v="0"/>
    <n v="3"/>
  </r>
  <r>
    <x v="638"/>
    <d v="2023-03-20T00:00:00"/>
    <s v="Senin"/>
    <x v="3"/>
    <s v="Q1"/>
    <n v="2023"/>
    <s v="Malam (20-22)"/>
    <s v="Softex"/>
    <x v="2"/>
    <n v="18000"/>
    <n v="5"/>
    <n v="5"/>
    <n v="85500"/>
    <n v="56668"/>
    <n v="28832"/>
    <n v="33.72"/>
    <x v="4"/>
    <s v="Budi"/>
    <x v="1"/>
    <x v="1"/>
    <n v="5"/>
  </r>
  <r>
    <x v="639"/>
    <d v="2024-06-11T00:00:00"/>
    <s v="Selasa"/>
    <x v="7"/>
    <s v="Q2"/>
    <n v="2024"/>
    <s v="Malam (20-22)"/>
    <s v="Gula Pasir 1kg"/>
    <x v="4"/>
    <n v="16000"/>
    <n v="3"/>
    <n v="0"/>
    <n v="48000"/>
    <n v="31523"/>
    <n v="16477"/>
    <n v="34.33"/>
    <x v="3"/>
    <s v="Budi"/>
    <x v="4"/>
    <x v="0"/>
    <n v="4"/>
  </r>
  <r>
    <x v="640"/>
    <d v="2023-10-02T00:00:00"/>
    <s v="Senin"/>
    <x v="0"/>
    <s v="Q4"/>
    <n v="2023"/>
    <s v="Sore (16-20)"/>
    <s v="Kapas Kecantikan"/>
    <x v="3"/>
    <n v="8000"/>
    <n v="7"/>
    <n v="10"/>
    <n v="50400"/>
    <n v="33946"/>
    <n v="16454"/>
    <n v="32.65"/>
    <x v="0"/>
    <s v="Dewi"/>
    <x v="3"/>
    <x v="1"/>
    <n v="2"/>
  </r>
  <r>
    <x v="641"/>
    <d v="2023-09-04T00:00:00"/>
    <s v="Senin"/>
    <x v="6"/>
    <s v="Q3"/>
    <n v="2023"/>
    <s v="Sore (16-20)"/>
    <s v="Qtela"/>
    <x v="1"/>
    <n v="14000"/>
    <n v="7"/>
    <n v="5"/>
    <n v="93100"/>
    <n v="56248"/>
    <n v="36852"/>
    <n v="39.58"/>
    <x v="0"/>
    <s v="Budi"/>
    <x v="1"/>
    <x v="1"/>
    <n v="2"/>
  </r>
  <r>
    <x v="642"/>
    <d v="2023-09-20T00:00:00"/>
    <s v="Rabu"/>
    <x v="6"/>
    <s v="Q3"/>
    <n v="2023"/>
    <s v="Sore (16-20)"/>
    <s v="Deodorant Rexona"/>
    <x v="3"/>
    <n v="20000"/>
    <n v="7"/>
    <n v="0"/>
    <n v="140000"/>
    <n v="79703"/>
    <n v="60297"/>
    <n v="43.07"/>
    <x v="1"/>
    <s v="Rina"/>
    <x v="3"/>
    <x v="1"/>
    <n v="4"/>
  </r>
  <r>
    <x v="643"/>
    <d v="2024-07-27T00:00:00"/>
    <s v="Sabtu"/>
    <x v="4"/>
    <s v="Q3"/>
    <n v="2024"/>
    <s v="Sore (16-20)"/>
    <s v="Sania Minyak Goreng"/>
    <x v="4"/>
    <n v="28000"/>
    <n v="1"/>
    <n v="0"/>
    <n v="28000"/>
    <n v="16159"/>
    <n v="11841"/>
    <n v="42.29"/>
    <x v="1"/>
    <s v="Rina"/>
    <x v="2"/>
    <x v="0"/>
    <n v="1"/>
  </r>
  <r>
    <x v="644"/>
    <d v="2024-05-12T00:00:00"/>
    <s v="Minggu"/>
    <x v="11"/>
    <s v="Q2"/>
    <n v="2024"/>
    <s v="Pagi (08-12)"/>
    <s v="Aqua 1.5L"/>
    <x v="0"/>
    <n v="5000"/>
    <n v="2"/>
    <n v="0"/>
    <n v="10000"/>
    <n v="6523"/>
    <n v="3477"/>
    <n v="34.770000000000003"/>
    <x v="0"/>
    <s v="Agus"/>
    <x v="2"/>
    <x v="1"/>
    <n v="2"/>
  </r>
  <r>
    <x v="645"/>
    <d v="2024-10-17T00:00:00"/>
    <s v="Rabu"/>
    <x v="9"/>
    <s v="Q3"/>
    <n v="2023"/>
    <s v="Malam (20-22)"/>
    <s v="Susu Ultra"/>
    <x v="0"/>
    <n v="9000"/>
    <n v="9"/>
    <n v="0"/>
    <n v="81000"/>
    <n v="51737"/>
    <n v="29263"/>
    <n v="36.130000000000003"/>
    <x v="3"/>
    <s v="Dewi"/>
    <x v="2"/>
    <x v="0"/>
    <n v="2"/>
  </r>
  <r>
    <x v="646"/>
    <d v="2023-04-07T00:00:00"/>
    <s v="Jumat"/>
    <x v="6"/>
    <s v="Q3"/>
    <n v="2024"/>
    <s v="Siang (12-16)"/>
    <s v="Pocari Sweat"/>
    <x v="0"/>
    <n v="8000"/>
    <n v="6"/>
    <n v="20"/>
    <n v="38400"/>
    <n v="24934"/>
    <n v="13466"/>
    <n v="35.07"/>
    <x v="2"/>
    <s v="Budi"/>
    <x v="1"/>
    <x v="0"/>
    <n v="1"/>
  </r>
  <r>
    <x v="647"/>
    <d v="2023-10-13T00:00:00"/>
    <s v="Kamis"/>
    <x v="7"/>
    <s v="Q2"/>
    <n v="2023"/>
    <s v="Sore (16-20)"/>
    <s v="Qtela"/>
    <x v="1"/>
    <n v="14000"/>
    <n v="8"/>
    <n v="5"/>
    <n v="106400"/>
    <n v="63120"/>
    <n v="43280"/>
    <n v="40.68"/>
    <x v="3"/>
    <s v="Rina"/>
    <x v="1"/>
    <x v="0"/>
    <n v="3"/>
  </r>
  <r>
    <x v="648"/>
    <d v="2024-01-04T00:00:00"/>
    <s v="Jumat"/>
    <x v="4"/>
    <s v="Q3"/>
    <n v="2024"/>
    <s v="Sore (16-20)"/>
    <s v="Sania Minyak Goreng"/>
    <x v="4"/>
    <n v="28000"/>
    <n v="4"/>
    <n v="0"/>
    <n v="112000"/>
    <n v="78344"/>
    <n v="33656"/>
    <n v="30.05"/>
    <x v="1"/>
    <s v="Siti"/>
    <x v="1"/>
    <x v="1"/>
    <n v="1"/>
  </r>
  <r>
    <x v="649"/>
    <d v="2023-10-29T00:00:00"/>
    <s v="Selasa"/>
    <x v="0"/>
    <s v="Q4"/>
    <n v="2024"/>
    <s v="Malam (20-22)"/>
    <s v="Pelembab Vaseline"/>
    <x v="3"/>
    <n v="25000"/>
    <n v="1"/>
    <n v="15"/>
    <n v="21250"/>
    <n v="15002"/>
    <n v="6248"/>
    <n v="29.4"/>
    <x v="1"/>
    <s v="Siti"/>
    <x v="4"/>
    <x v="1"/>
    <n v="3"/>
  </r>
  <r>
    <x v="650"/>
    <d v="2024-01-26T00:00:00"/>
    <s v="Senin"/>
    <x v="8"/>
    <s v="Q4"/>
    <n v="2024"/>
    <s v="Sore (16-20)"/>
    <s v="Susu Ultra"/>
    <x v="0"/>
    <n v="9000"/>
    <n v="4"/>
    <n v="20"/>
    <n v="28800"/>
    <n v="18006"/>
    <n v="10794"/>
    <n v="37.479999999999997"/>
    <x v="0"/>
    <s v="Agus"/>
    <x v="2"/>
    <x v="0"/>
    <n v="2"/>
  </r>
  <r>
    <x v="651"/>
    <d v="2024-04-19T00:00:00"/>
    <s v="Rabu"/>
    <x v="10"/>
    <s v="Q4"/>
    <n v="2023"/>
    <s v="Pagi (08-12)"/>
    <s v="Oreo"/>
    <x v="1"/>
    <n v="10000"/>
    <n v="8"/>
    <n v="15"/>
    <n v="68000"/>
    <n v="41067"/>
    <n v="26933"/>
    <n v="39.61"/>
    <x v="2"/>
    <s v="Rina"/>
    <x v="2"/>
    <x v="1"/>
    <n v="4"/>
  </r>
  <r>
    <x v="652"/>
    <d v="2023-03-10T00:00:00"/>
    <s v="Selasa"/>
    <x v="5"/>
    <s v="Q1"/>
    <n v="2024"/>
    <s v="Sore (16-20)"/>
    <s v="Deterjen Rinso"/>
    <x v="2"/>
    <n v="22000"/>
    <n v="2"/>
    <n v="20"/>
    <n v="35200"/>
    <n v="20319"/>
    <n v="14881"/>
    <n v="42.28"/>
    <x v="4"/>
    <s v="Dewi"/>
    <x v="0"/>
    <x v="1"/>
    <n v="5"/>
  </r>
  <r>
    <x v="653"/>
    <d v="2024-07-29T00:00:00"/>
    <s v="Minggu"/>
    <x v="4"/>
    <s v="Q3"/>
    <n v="2024"/>
    <s v="Pagi (08-12)"/>
    <s v="Deterjen Rinso"/>
    <x v="2"/>
    <n v="22000"/>
    <n v="1"/>
    <n v="20"/>
    <n v="17600"/>
    <n v="9836"/>
    <n v="7764"/>
    <n v="44.11"/>
    <x v="1"/>
    <s v="Agus"/>
    <x v="3"/>
    <x v="1"/>
    <n v="2"/>
  </r>
  <r>
    <x v="654"/>
    <d v="2023-02-19T00:00:00"/>
    <s v="Sabtu"/>
    <x v="0"/>
    <s v="Q4"/>
    <n v="2024"/>
    <s v="Malam (20-22)"/>
    <s v="Pasta Gigi Pepsodent"/>
    <x v="2"/>
    <n v="12000"/>
    <n v="10"/>
    <n v="0"/>
    <n v="120000"/>
    <n v="68261"/>
    <n v="51739"/>
    <n v="43.12"/>
    <x v="1"/>
    <s v="Dewi"/>
    <x v="3"/>
    <x v="1"/>
    <n v="4"/>
  </r>
  <r>
    <x v="655"/>
    <d v="2023-09-16T00:00:00"/>
    <s v="Sabtu"/>
    <x v="11"/>
    <s v="Q2"/>
    <n v="2024"/>
    <s v="Pagi (08-12)"/>
    <s v="Qtela"/>
    <x v="1"/>
    <n v="14000"/>
    <n v="3"/>
    <n v="15"/>
    <n v="35700"/>
    <n v="23234"/>
    <n v="12466"/>
    <n v="34.92"/>
    <x v="4"/>
    <s v="Siti"/>
    <x v="3"/>
    <x v="1"/>
    <n v="3"/>
  </r>
  <r>
    <x v="656"/>
    <d v="2024-04-10T00:00:00"/>
    <s v="Kamis"/>
    <x v="4"/>
    <s v="Q3"/>
    <n v="2023"/>
    <s v="Siang (12-16)"/>
    <s v="Sania Minyak Goreng"/>
    <x v="4"/>
    <n v="28000"/>
    <n v="10"/>
    <n v="0"/>
    <n v="280000"/>
    <n v="154987"/>
    <n v="125013"/>
    <n v="44.65"/>
    <x v="0"/>
    <s v="Dewi"/>
    <x v="4"/>
    <x v="0"/>
    <n v="4"/>
  </r>
  <r>
    <x v="657"/>
    <d v="2023-06-16T00:00:00"/>
    <s v="Minggu"/>
    <x v="4"/>
    <s v="Q3"/>
    <n v="2023"/>
    <s v="Pagi (08-12)"/>
    <s v="Shampo Sunsilk"/>
    <x v="2"/>
    <n v="15000"/>
    <n v="1"/>
    <n v="5"/>
    <n v="14250"/>
    <n v="9335"/>
    <n v="4915"/>
    <n v="34.49"/>
    <x v="3"/>
    <s v="Siti"/>
    <x v="3"/>
    <x v="1"/>
    <n v="2"/>
  </r>
  <r>
    <x v="658"/>
    <d v="2023-09-05T00:00:00"/>
    <s v="Sabtu"/>
    <x v="9"/>
    <s v="Q3"/>
    <n v="2024"/>
    <s v="Siang (12-16)"/>
    <s v="Aqua 1.5L"/>
    <x v="0"/>
    <n v="5000"/>
    <n v="9"/>
    <n v="5"/>
    <n v="42750"/>
    <n v="29133"/>
    <n v="13617"/>
    <n v="31.85"/>
    <x v="2"/>
    <s v="Agus"/>
    <x v="0"/>
    <x v="0"/>
    <n v="2"/>
  </r>
  <r>
    <x v="659"/>
    <d v="2023-06-20T00:00:00"/>
    <s v="Sabtu"/>
    <x v="6"/>
    <s v="Q3"/>
    <n v="2023"/>
    <s v="Sore (16-20)"/>
    <s v="Deterjen Rinso"/>
    <x v="2"/>
    <n v="22000"/>
    <n v="7"/>
    <n v="0"/>
    <n v="154000"/>
    <n v="95992"/>
    <n v="58008"/>
    <n v="37.67"/>
    <x v="1"/>
    <s v="Dewi"/>
    <x v="3"/>
    <x v="0"/>
    <n v="4"/>
  </r>
  <r>
    <x v="660"/>
    <d v="2024-06-14T00:00:00"/>
    <s v="Selasa"/>
    <x v="4"/>
    <s v="Q3"/>
    <n v="2023"/>
    <s v="Siang (12-16)"/>
    <s v="Saos Sambal"/>
    <x v="4"/>
    <n v="10000"/>
    <n v="1"/>
    <n v="0"/>
    <n v="10000"/>
    <n v="7159"/>
    <n v="2841"/>
    <n v="28.41"/>
    <x v="1"/>
    <s v="Dewi"/>
    <x v="1"/>
    <x v="1"/>
    <n v="5"/>
  </r>
  <r>
    <x v="661"/>
    <d v="2023-03-15T00:00:00"/>
    <s v="Minggu"/>
    <x v="8"/>
    <s v="Q4"/>
    <n v="2024"/>
    <s v="Malam (20-22)"/>
    <s v="Kecap ABC"/>
    <x v="4"/>
    <n v="14000"/>
    <n v="1"/>
    <n v="5"/>
    <n v="13300"/>
    <n v="7616"/>
    <n v="5684"/>
    <n v="42.74"/>
    <x v="4"/>
    <s v="Agus"/>
    <x v="3"/>
    <x v="1"/>
    <n v="5"/>
  </r>
  <r>
    <x v="662"/>
    <d v="2024-07-07T00:00:00"/>
    <s v="Rabu"/>
    <x v="6"/>
    <s v="Q3"/>
    <n v="2023"/>
    <s v="Pagi (08-12)"/>
    <s v="Aqua 1.5L"/>
    <x v="0"/>
    <n v="5000"/>
    <n v="9"/>
    <n v="0"/>
    <n v="45000"/>
    <n v="25149"/>
    <n v="19851"/>
    <n v="44.11"/>
    <x v="1"/>
    <s v="Agus"/>
    <x v="2"/>
    <x v="0"/>
    <n v="3"/>
  </r>
  <r>
    <x v="663"/>
    <d v="2023-12-30T00:00:00"/>
    <s v="Jumat"/>
    <x v="11"/>
    <s v="Q2"/>
    <n v="2024"/>
    <s v="Siang (12-16)"/>
    <s v="Hand Sanitizer"/>
    <x v="3"/>
    <n v="12000"/>
    <n v="5"/>
    <n v="5"/>
    <n v="57000"/>
    <n v="37855"/>
    <n v="19145"/>
    <n v="33.590000000000003"/>
    <x v="1"/>
    <s v="Dewi"/>
    <x v="0"/>
    <x v="1"/>
    <n v="2"/>
  </r>
  <r>
    <x v="664"/>
    <d v="2023-07-17T00:00:00"/>
    <s v="Kamis"/>
    <x v="11"/>
    <s v="Q2"/>
    <n v="2024"/>
    <s v="Sore (16-20)"/>
    <s v="Royco Ayam"/>
    <x v="4"/>
    <n v="5000"/>
    <n v="8"/>
    <n v="0"/>
    <n v="40000"/>
    <n v="22610"/>
    <n v="17390"/>
    <n v="43.48"/>
    <x v="3"/>
    <s v="Agus"/>
    <x v="3"/>
    <x v="0"/>
    <n v="3"/>
  </r>
  <r>
    <x v="665"/>
    <d v="2023-04-12T00:00:00"/>
    <s v="Rabu"/>
    <x v="5"/>
    <s v="Q1"/>
    <n v="2023"/>
    <s v="Sore (16-20)"/>
    <s v="Indomie Goreng"/>
    <x v="1"/>
    <n v="3500"/>
    <n v="5"/>
    <n v="15"/>
    <n v="14875"/>
    <n v="9093"/>
    <n v="5782"/>
    <n v="38.869999999999997"/>
    <x v="2"/>
    <s v="Siti"/>
    <x v="2"/>
    <x v="1"/>
    <n v="4"/>
  </r>
  <r>
    <x v="666"/>
    <d v="2024-02-16T00:00:00"/>
    <s v="Minggu"/>
    <x v="7"/>
    <s v="Q2"/>
    <n v="2023"/>
    <s v="Siang (12-16)"/>
    <s v="Deterjen Rinso"/>
    <x v="2"/>
    <n v="22000"/>
    <n v="3"/>
    <n v="10"/>
    <n v="59400"/>
    <n v="41284"/>
    <n v="18116"/>
    <n v="30.5"/>
    <x v="2"/>
    <s v="Rina"/>
    <x v="3"/>
    <x v="0"/>
    <n v="2"/>
  </r>
  <r>
    <x v="667"/>
    <d v="2023-07-15T00:00:00"/>
    <s v="Jumat"/>
    <x v="4"/>
    <s v="Q3"/>
    <n v="2023"/>
    <s v="Pagi (08-12)"/>
    <s v="Kopi Kapal Api"/>
    <x v="0"/>
    <n v="12000"/>
    <n v="5"/>
    <n v="0"/>
    <n v="60000"/>
    <n v="40201"/>
    <n v="19799"/>
    <n v="33"/>
    <x v="2"/>
    <s v="Rina"/>
    <x v="1"/>
    <x v="1"/>
    <n v="3"/>
  </r>
  <r>
    <x v="668"/>
    <d v="2024-06-28T00:00:00"/>
    <s v="Jumat"/>
    <x v="8"/>
    <s v="Q4"/>
    <n v="2024"/>
    <s v="Pagi (08-12)"/>
    <s v="Hand Sanitizer"/>
    <x v="3"/>
    <n v="12000"/>
    <n v="8"/>
    <n v="5"/>
    <n v="91200"/>
    <n v="51904"/>
    <n v="39296"/>
    <n v="43.09"/>
    <x v="1"/>
    <s v="Rina"/>
    <x v="2"/>
    <x v="0"/>
    <n v="3"/>
  </r>
  <r>
    <x v="669"/>
    <d v="2024-08-07T00:00:00"/>
    <s v="Selasa"/>
    <x v="4"/>
    <s v="Q3"/>
    <n v="2023"/>
    <s v="Pagi (08-12)"/>
    <s v="Cheetos"/>
    <x v="1"/>
    <n v="11000"/>
    <n v="5"/>
    <n v="10"/>
    <n v="49500"/>
    <n v="34722"/>
    <n v="14778"/>
    <n v="29.85"/>
    <x v="3"/>
    <s v="Budi"/>
    <x v="4"/>
    <x v="0"/>
    <n v="4"/>
  </r>
  <r>
    <x v="670"/>
    <d v="2024-11-17T00:00:00"/>
    <s v="Senin"/>
    <x v="3"/>
    <s v="Q1"/>
    <n v="2023"/>
    <s v="Pagi (08-12)"/>
    <s v="Indomie Goreng"/>
    <x v="1"/>
    <n v="3500"/>
    <n v="2"/>
    <n v="0"/>
    <n v="7000"/>
    <n v="3881"/>
    <n v="3119"/>
    <n v="44.56"/>
    <x v="0"/>
    <s v="Agus"/>
    <x v="2"/>
    <x v="1"/>
    <n v="2"/>
  </r>
  <r>
    <x v="671"/>
    <d v="2024-09-29T00:00:00"/>
    <s v="Senin"/>
    <x v="2"/>
    <s v="Q1"/>
    <n v="2023"/>
    <s v="Sore (16-20)"/>
    <s v="Kopi Kapal Api"/>
    <x v="0"/>
    <n v="12000"/>
    <n v="8"/>
    <n v="5"/>
    <n v="91200"/>
    <n v="59902"/>
    <n v="31298"/>
    <n v="34.32"/>
    <x v="4"/>
    <s v="Dewi"/>
    <x v="0"/>
    <x v="0"/>
    <n v="5"/>
  </r>
  <r>
    <x v="672"/>
    <d v="2023-10-20T00:00:00"/>
    <s v="Senin"/>
    <x v="1"/>
    <s v="Q2"/>
    <n v="2024"/>
    <s v="Pagi (08-12)"/>
    <s v="Softex"/>
    <x v="2"/>
    <n v="18000"/>
    <n v="3"/>
    <n v="0"/>
    <n v="54000"/>
    <n v="37625"/>
    <n v="16375"/>
    <n v="30.32"/>
    <x v="4"/>
    <s v="Siti"/>
    <x v="0"/>
    <x v="1"/>
    <n v="1"/>
  </r>
  <r>
    <x v="673"/>
    <d v="2023-09-29T00:00:00"/>
    <s v="Selasa"/>
    <x v="5"/>
    <s v="Q1"/>
    <n v="2024"/>
    <s v="Siang (12-16)"/>
    <s v="Shampo Sunsilk"/>
    <x v="2"/>
    <n v="15000"/>
    <n v="4"/>
    <n v="20"/>
    <n v="48000"/>
    <n v="33463"/>
    <n v="14537"/>
    <n v="30.29"/>
    <x v="0"/>
    <s v="Rina"/>
    <x v="3"/>
    <x v="1"/>
    <n v="4"/>
  </r>
  <r>
    <x v="674"/>
    <d v="2024-05-16T00:00:00"/>
    <s v="Kamis"/>
    <x v="0"/>
    <s v="Q4"/>
    <n v="2023"/>
    <s v="Sore (16-20)"/>
    <s v="Chitato"/>
    <x v="1"/>
    <n v="12000"/>
    <n v="5"/>
    <n v="5"/>
    <n v="57000"/>
    <n v="39113"/>
    <n v="17887"/>
    <n v="31.38"/>
    <x v="4"/>
    <s v="Dewi"/>
    <x v="3"/>
    <x v="0"/>
    <n v="3"/>
  </r>
  <r>
    <x v="675"/>
    <d v="2023-06-16T00:00:00"/>
    <s v="Sabtu"/>
    <x v="7"/>
    <s v="Q2"/>
    <n v="2024"/>
    <s v="Pagi (08-12)"/>
    <s v="Indomie Goreng"/>
    <x v="1"/>
    <n v="3500"/>
    <n v="8"/>
    <n v="5"/>
    <n v="26600"/>
    <n v="16784"/>
    <n v="9816"/>
    <n v="36.9"/>
    <x v="3"/>
    <s v="Dewi"/>
    <x v="1"/>
    <x v="1"/>
    <n v="3"/>
  </r>
  <r>
    <x v="676"/>
    <s v="2024-07-35"/>
    <s v="Jumat"/>
    <x v="6"/>
    <s v="Q3"/>
    <n v="2024"/>
    <s v="Siang (12-16)"/>
    <s v="Indomie Goreng"/>
    <x v="1"/>
    <n v="3500"/>
    <n v="7"/>
    <n v="0"/>
    <n v="24500"/>
    <n v="13643"/>
    <n v="10857"/>
    <n v="44.31"/>
    <x v="4"/>
    <s v="Agus"/>
    <x v="3"/>
    <x v="1"/>
    <n v="5"/>
  </r>
  <r>
    <x v="677"/>
    <s v="2024-07-43"/>
    <s v="Minggu"/>
    <x v="0"/>
    <s v="Q4"/>
    <n v="2024"/>
    <s v="Siang (12-16)"/>
    <s v="Pelembab Vaseline"/>
    <x v="3"/>
    <n v="25000"/>
    <n v="5"/>
    <n v="5"/>
    <n v="118750"/>
    <n v="74142"/>
    <n v="44608"/>
    <n v="37.56"/>
    <x v="2"/>
    <s v="Siti"/>
    <x v="3"/>
    <x v="1"/>
    <n v="2"/>
  </r>
  <r>
    <x v="678"/>
    <d v="2024-11-17T00:00:00"/>
    <s v="Rabu"/>
    <x v="7"/>
    <s v="Q2"/>
    <n v="2024"/>
    <s v="Malam (20-22)"/>
    <s v="Royco Ayam"/>
    <x v="4"/>
    <n v="5000"/>
    <n v="10"/>
    <n v="0"/>
    <n v="50000"/>
    <n v="32183"/>
    <n v="17817"/>
    <n v="35.630000000000003"/>
    <x v="0"/>
    <s v="Dewi"/>
    <x v="0"/>
    <x v="1"/>
    <n v="1"/>
  </r>
  <r>
    <x v="679"/>
    <d v="2023-12-26T00:00:00"/>
    <s v="Sabtu"/>
    <x v="1"/>
    <s v="Q2"/>
    <n v="2024"/>
    <s v="Malam (20-22)"/>
    <s v="Lip Balm Nivea"/>
    <x v="3"/>
    <n v="18000"/>
    <n v="6"/>
    <n v="0"/>
    <n v="108000"/>
    <n v="70151"/>
    <n v="37849"/>
    <n v="35.049999999999997"/>
    <x v="3"/>
    <s v="Rina"/>
    <x v="0"/>
    <x v="0"/>
    <n v="2"/>
  </r>
  <r>
    <x v="680"/>
    <d v="2024-10-19T00:00:00"/>
    <s v="Rabu"/>
    <x v="5"/>
    <s v="Q1"/>
    <n v="2024"/>
    <s v="Sore (16-20)"/>
    <s v="Aqua 1.5L"/>
    <x v="0"/>
    <n v="5000"/>
    <n v="7"/>
    <n v="15"/>
    <n v="29750"/>
    <n v="17868"/>
    <n v="11882"/>
    <n v="39.94"/>
    <x v="3"/>
    <s v="Agus"/>
    <x v="1"/>
    <x v="1"/>
    <n v="2"/>
  </r>
  <r>
    <x v="681"/>
    <d v="2024-09-03T00:00:00"/>
    <s v="Sabtu"/>
    <x v="9"/>
    <s v="Q3"/>
    <n v="2023"/>
    <s v="Pagi (08-12)"/>
    <s v="Chitato"/>
    <x v="1"/>
    <n v="12000"/>
    <n v="10"/>
    <n v="0"/>
    <n v="120000"/>
    <n v="83781"/>
    <n v="36219"/>
    <n v="30.18"/>
    <x v="0"/>
    <s v="Agus"/>
    <x v="4"/>
    <x v="0"/>
    <n v="4"/>
  </r>
  <r>
    <x v="682"/>
    <d v="2024-12-27T00:00:00"/>
    <s v="Minggu"/>
    <x v="1"/>
    <s v="Q2"/>
    <n v="2023"/>
    <s v="Sore (16-20)"/>
    <s v="Teh Botol"/>
    <x v="0"/>
    <n v="6000"/>
    <n v="8"/>
    <n v="5"/>
    <n v="45600"/>
    <n v="30443"/>
    <n v="15157"/>
    <n v="33.24"/>
    <x v="3"/>
    <s v="Agus"/>
    <x v="2"/>
    <x v="1"/>
    <n v="3"/>
  </r>
  <r>
    <x v="683"/>
    <d v="2023-11-19T00:00:00"/>
    <s v="Jumat"/>
    <x v="3"/>
    <s v="Q1"/>
    <n v="2023"/>
    <s v="Siang (12-16)"/>
    <s v="Oreo"/>
    <x v="1"/>
    <n v="10000"/>
    <n v="1"/>
    <n v="0"/>
    <n v="10000"/>
    <n v="5690"/>
    <n v="4310"/>
    <n v="43.1"/>
    <x v="0"/>
    <s v="Budi"/>
    <x v="0"/>
    <x v="1"/>
    <n v="2"/>
  </r>
  <r>
    <x v="684"/>
    <d v="2024-11-12T00:00:00"/>
    <s v="Minggu"/>
    <x v="0"/>
    <s v="Q4"/>
    <n v="2024"/>
    <s v="Malam (20-22)"/>
    <s v="Indomie Goreng"/>
    <x v="1"/>
    <n v="3500"/>
    <n v="9"/>
    <n v="0"/>
    <n v="31500"/>
    <n v="17786"/>
    <n v="13714"/>
    <n v="43.54"/>
    <x v="2"/>
    <s v="Budi"/>
    <x v="1"/>
    <x v="0"/>
    <n v="1"/>
  </r>
  <r>
    <x v="685"/>
    <d v="2024-08-17T00:00:00"/>
    <s v="Selasa"/>
    <x v="7"/>
    <s v="Q2"/>
    <n v="2023"/>
    <s v="Siang (12-16)"/>
    <s v="Indomie Goreng"/>
    <x v="1"/>
    <n v="3500"/>
    <n v="8"/>
    <n v="5"/>
    <n v="26600"/>
    <n v="14719"/>
    <n v="11881"/>
    <n v="44.67"/>
    <x v="2"/>
    <s v="Dewi"/>
    <x v="3"/>
    <x v="1"/>
    <n v="5"/>
  </r>
  <r>
    <x v="686"/>
    <d v="2024-06-12T00:00:00"/>
    <s v="Selasa"/>
    <x v="5"/>
    <s v="Q1"/>
    <n v="2024"/>
    <s v="Sore (16-20)"/>
    <s v="Pocari Sweat"/>
    <x v="0"/>
    <n v="8000"/>
    <n v="1"/>
    <n v="0"/>
    <n v="8000"/>
    <n v="5257"/>
    <n v="2743"/>
    <n v="34.29"/>
    <x v="2"/>
    <s v="Agus"/>
    <x v="1"/>
    <x v="0"/>
    <n v="4"/>
  </r>
  <r>
    <x v="687"/>
    <d v="2023-02-18T00:00:00"/>
    <s v="Rabu"/>
    <x v="5"/>
    <s v="Q1"/>
    <n v="2024"/>
    <s v="Pagi (08-12)"/>
    <s v="Gula Pasir 1kg"/>
    <x v="4"/>
    <n v="16000"/>
    <n v="10"/>
    <n v="15"/>
    <n v="136000"/>
    <n v="88938"/>
    <n v="47062"/>
    <n v="34.6"/>
    <x v="2"/>
    <s v="Budi"/>
    <x v="0"/>
    <x v="1"/>
    <n v="5"/>
  </r>
  <r>
    <x v="688"/>
    <d v="2024-02-15T00:00:00"/>
    <s v="Senin"/>
    <x v="10"/>
    <s v="Q4"/>
    <n v="2023"/>
    <s v="Sore (16-20)"/>
    <s v="Pelembab Vaseline"/>
    <x v="3"/>
    <n v="25000"/>
    <n v="5"/>
    <n v="15"/>
    <n v="106250"/>
    <n v="65972"/>
    <n v="40278"/>
    <n v="37.909999999999997"/>
    <x v="2"/>
    <s v="Rina"/>
    <x v="1"/>
    <x v="1"/>
    <n v="4"/>
  </r>
  <r>
    <x v="689"/>
    <d v="2024-07-25T00:00:00"/>
    <s v="Minggu"/>
    <x v="2"/>
    <s v="Q1"/>
    <n v="2023"/>
    <s v="Sore (16-20)"/>
    <s v="Qtela"/>
    <x v="1"/>
    <n v="14000"/>
    <n v="4"/>
    <n v="5"/>
    <n v="53200"/>
    <n v="32370"/>
    <n v="20830"/>
    <n v="39.15"/>
    <x v="1"/>
    <s v="Dewi"/>
    <x v="3"/>
    <x v="1"/>
    <n v="2"/>
  </r>
  <r>
    <x v="690"/>
    <d v="2024-05-09T00:00:00"/>
    <s v="Sabtu"/>
    <x v="0"/>
    <s v="Q4"/>
    <n v="2023"/>
    <s v="Sore (16-20)"/>
    <s v="Sania Minyak Goreng"/>
    <x v="4"/>
    <n v="28000"/>
    <n v="6"/>
    <n v="20"/>
    <n v="134400"/>
    <n v="84712"/>
    <n v="49688"/>
    <n v="36.97"/>
    <x v="1"/>
    <s v="Dewi"/>
    <x v="3"/>
    <x v="0"/>
    <n v="4"/>
  </r>
  <r>
    <x v="691"/>
    <d v="2024-05-29T00:00:00"/>
    <s v="Sabtu"/>
    <x v="11"/>
    <s v="Q2"/>
    <n v="2023"/>
    <s v="Siang (12-16)"/>
    <s v="Oreo"/>
    <x v="1"/>
    <n v="10000"/>
    <n v="3"/>
    <n v="10"/>
    <n v="27000"/>
    <n v="17109"/>
    <n v="9891"/>
    <n v="36.630000000000003"/>
    <x v="2"/>
    <s v="Agus"/>
    <x v="2"/>
    <x v="0"/>
    <n v="5"/>
  </r>
  <r>
    <x v="692"/>
    <d v="2023-06-05T00:00:00"/>
    <s v="Sabtu"/>
    <x v="5"/>
    <s v="Q1"/>
    <n v="2023"/>
    <s v="Pagi (08-12)"/>
    <s v="Pocari Sweat"/>
    <x v="0"/>
    <n v="8000"/>
    <n v="5"/>
    <n v="0"/>
    <n v="40000"/>
    <n v="26603"/>
    <n v="13397"/>
    <n v="33.49"/>
    <x v="1"/>
    <s v="Dewi"/>
    <x v="0"/>
    <x v="1"/>
    <n v="4"/>
  </r>
  <r>
    <x v="693"/>
    <s v="2023-07-32"/>
    <s v="Kamis"/>
    <x v="1"/>
    <s v="Q2"/>
    <n v="2023"/>
    <s v="Pagi (08-12)"/>
    <s v="Deodorant Rexona"/>
    <x v="3"/>
    <n v="20000"/>
    <n v="2"/>
    <n v="10"/>
    <n v="36000"/>
    <n v="21171"/>
    <n v="14829"/>
    <n v="41.19"/>
    <x v="4"/>
    <s v="Siti"/>
    <x v="2"/>
    <x v="1"/>
    <n v="2"/>
  </r>
  <r>
    <x v="694"/>
    <d v="2024-02-05T00:00:00"/>
    <s v="Sabtu"/>
    <x v="8"/>
    <s v="Q4"/>
    <n v="2024"/>
    <s v="Pagi (08-12)"/>
    <s v="Kapas Kecantikan"/>
    <x v="3"/>
    <n v="8000"/>
    <n v="2"/>
    <n v="15"/>
    <n v="13600"/>
    <n v="7597"/>
    <n v="6003"/>
    <n v="44.14"/>
    <x v="2"/>
    <s v="Agus"/>
    <x v="0"/>
    <x v="0"/>
    <n v="5"/>
  </r>
  <r>
    <x v="695"/>
    <d v="2023-01-31T00:00:00"/>
    <s v="Minggu"/>
    <x v="5"/>
    <s v="Q1"/>
    <n v="2023"/>
    <s v="Sore (16-20)"/>
    <s v="Pelembab Vaseline"/>
    <x v="3"/>
    <n v="25000"/>
    <n v="3"/>
    <n v="15"/>
    <n v="63750"/>
    <n v="36342"/>
    <n v="27408"/>
    <n v="42.99"/>
    <x v="1"/>
    <s v="Siti"/>
    <x v="3"/>
    <x v="1"/>
    <n v="5"/>
  </r>
  <r>
    <x v="696"/>
    <s v="2024-07-32"/>
    <s v="Sabtu"/>
    <x v="11"/>
    <s v="Q2"/>
    <n v="2024"/>
    <s v="Malam (20-22)"/>
    <s v="Teh Botol"/>
    <x v="0"/>
    <n v="6000"/>
    <n v="6"/>
    <n v="0"/>
    <n v="36000"/>
    <n v="24813"/>
    <n v="11187"/>
    <n v="31.08"/>
    <x v="0"/>
    <s v="Budi"/>
    <x v="1"/>
    <x v="0"/>
    <n v="2"/>
  </r>
  <r>
    <x v="697"/>
    <d v="2024-04-11T00:00:00"/>
    <s v="Selasa"/>
    <x v="1"/>
    <s v="Q2"/>
    <n v="2024"/>
    <s v="Siang (12-16)"/>
    <s v="Pasta Gigi Pepsodent"/>
    <x v="2"/>
    <n v="12000"/>
    <n v="9"/>
    <n v="0"/>
    <n v="108000"/>
    <n v="60965"/>
    <n v="47035"/>
    <n v="43.55"/>
    <x v="4"/>
    <s v="Agus"/>
    <x v="2"/>
    <x v="0"/>
    <n v="5"/>
  </r>
  <r>
    <x v="698"/>
    <d v="2023-02-24T00:00:00"/>
    <s v="Kamis"/>
    <x v="3"/>
    <s v="Q1"/>
    <n v="2024"/>
    <s v="Pagi (08-12)"/>
    <s v="Oreo"/>
    <x v="1"/>
    <n v="10000"/>
    <n v="7"/>
    <n v="5"/>
    <n v="66500"/>
    <n v="46953"/>
    <n v="19547"/>
    <n v="29.39"/>
    <x v="2"/>
    <s v="Dewi"/>
    <x v="2"/>
    <x v="1"/>
    <n v="2"/>
  </r>
  <r>
    <x v="699"/>
    <d v="2023-06-07T00:00:00"/>
    <s v="Rabu"/>
    <x v="2"/>
    <s v="Q1"/>
    <n v="2023"/>
    <s v="Malam (20-22)"/>
    <s v="Pelembab Vaseline"/>
    <x v="3"/>
    <n v="25000"/>
    <n v="2"/>
    <n v="0"/>
    <n v="50000"/>
    <n v="30176"/>
    <n v="19824"/>
    <n v="39.65"/>
    <x v="1"/>
    <s v="Agus"/>
    <x v="0"/>
    <x v="0"/>
    <n v="2"/>
  </r>
  <r>
    <x v="700"/>
    <d v="2024-09-14T00:00:00"/>
    <s v="Minggu"/>
    <x v="9"/>
    <s v="Q3"/>
    <n v="2024"/>
    <s v="Sore (16-20)"/>
    <s v="Susu Ultra"/>
    <x v="0"/>
    <n v="9000"/>
    <n v="5"/>
    <n v="5"/>
    <n v="42750"/>
    <n v="26434"/>
    <n v="16316"/>
    <n v="38.17"/>
    <x v="3"/>
    <s v="Siti"/>
    <x v="2"/>
    <x v="0"/>
    <n v="3"/>
  </r>
  <r>
    <x v="701"/>
    <d v="2024-08-30T00:00:00"/>
    <s v="Senin"/>
    <x v="7"/>
    <s v="Q2"/>
    <n v="2024"/>
    <s v="Malam (20-22)"/>
    <s v="Deodorant Rexona"/>
    <x v="3"/>
    <n v="20000"/>
    <n v="7"/>
    <n v="5"/>
    <n v="133000"/>
    <n v="87708"/>
    <n v="45292"/>
    <n v="34.049999999999997"/>
    <x v="3"/>
    <s v="Dewi"/>
    <x v="4"/>
    <x v="1"/>
    <n v="4"/>
  </r>
  <r>
    <x v="702"/>
    <d v="2023-03-13T00:00:00"/>
    <s v="Sabtu"/>
    <x v="4"/>
    <s v="Q3"/>
    <n v="2023"/>
    <s v="Sore (16-20)"/>
    <s v="Sabun Lifebuoy"/>
    <x v="2"/>
    <n v="8000"/>
    <n v="1"/>
    <n v="10"/>
    <n v="7200"/>
    <n v="4369"/>
    <n v="2831"/>
    <n v="39.32"/>
    <x v="1"/>
    <s v="Dewi"/>
    <x v="4"/>
    <x v="0"/>
    <n v="1"/>
  </r>
  <r>
    <x v="703"/>
    <d v="2024-03-22T00:00:00"/>
    <s v="Jumat"/>
    <x v="7"/>
    <s v="Q2"/>
    <n v="2024"/>
    <s v="Sore (16-20)"/>
    <s v="Lip Balm Nivea"/>
    <x v="3"/>
    <n v="18000"/>
    <n v="9"/>
    <n v="0"/>
    <n v="162000"/>
    <n v="109949"/>
    <n v="52051"/>
    <n v="32.130000000000003"/>
    <x v="1"/>
    <s v="Rina"/>
    <x v="0"/>
    <x v="0"/>
    <n v="3"/>
  </r>
  <r>
    <x v="704"/>
    <d v="2023-09-10T00:00:00"/>
    <s v="Jumat"/>
    <x v="3"/>
    <s v="Q1"/>
    <n v="2024"/>
    <s v="Pagi (08-12)"/>
    <s v="Pelembab Vaseline"/>
    <x v="3"/>
    <n v="25000"/>
    <n v="1"/>
    <n v="20"/>
    <n v="20000"/>
    <n v="12268"/>
    <n v="7732"/>
    <n v="38.659999999999997"/>
    <x v="3"/>
    <s v="Siti"/>
    <x v="0"/>
    <x v="0"/>
    <n v="4"/>
  </r>
  <r>
    <x v="705"/>
    <d v="2023-11-30T00:00:00"/>
    <s v="Kamis"/>
    <x v="10"/>
    <s v="Q4"/>
    <n v="2023"/>
    <s v="Siang (12-16)"/>
    <s v="Pelembab Vaseline"/>
    <x v="3"/>
    <n v="25000"/>
    <n v="8"/>
    <n v="0"/>
    <n v="200000"/>
    <n v="143420"/>
    <n v="56580"/>
    <n v="28.29"/>
    <x v="3"/>
    <s v="Dewi"/>
    <x v="4"/>
    <x v="1"/>
    <n v="3"/>
  </r>
  <r>
    <x v="706"/>
    <d v="2023-07-16T00:00:00"/>
    <s v="Kamis"/>
    <x v="0"/>
    <s v="Q4"/>
    <n v="2023"/>
    <s v="Siang (12-16)"/>
    <s v="Deodorant Rexona"/>
    <x v="3"/>
    <n v="20000"/>
    <n v="7"/>
    <n v="10"/>
    <n v="126000"/>
    <n v="85098"/>
    <n v="40902"/>
    <n v="32.46"/>
    <x v="0"/>
    <s v="Siti"/>
    <x v="4"/>
    <x v="1"/>
    <n v="4"/>
  </r>
  <r>
    <x v="707"/>
    <d v="2023-10-30T00:00:00"/>
    <s v="Selasa"/>
    <x v="1"/>
    <s v="Q2"/>
    <n v="2023"/>
    <s v="Siang (12-16)"/>
    <s v="Indomie Goreng"/>
    <x v="1"/>
    <n v="3500"/>
    <n v="7"/>
    <n v="0"/>
    <n v="24500"/>
    <n v="13859"/>
    <n v="10641"/>
    <n v="43.43"/>
    <x v="2"/>
    <s v="Budi"/>
    <x v="1"/>
    <x v="1"/>
    <n v="1"/>
  </r>
  <r>
    <x v="708"/>
    <d v="2023-12-06T00:00:00"/>
    <s v="Minggu"/>
    <x v="2"/>
    <s v="Q1"/>
    <n v="2024"/>
    <s v="Malam (20-22)"/>
    <s v="Hand Sanitizer"/>
    <x v="3"/>
    <n v="12000"/>
    <n v="10"/>
    <n v="10"/>
    <n v="108000"/>
    <n v="68928"/>
    <n v="39072"/>
    <n v="36.18"/>
    <x v="2"/>
    <s v="Siti"/>
    <x v="4"/>
    <x v="1"/>
    <n v="4"/>
  </r>
  <r>
    <x v="709"/>
    <d v="2023-08-11T00:00:00"/>
    <s v="Jumat"/>
    <x v="8"/>
    <s v="Q4"/>
    <n v="2024"/>
    <s v="Pagi (08-12)"/>
    <s v="Sania Minyak Goreng"/>
    <x v="4"/>
    <n v="28000"/>
    <n v="3"/>
    <n v="0"/>
    <n v="84000"/>
    <n v="53423"/>
    <n v="30577"/>
    <n v="36.4"/>
    <x v="2"/>
    <s v="Agus"/>
    <x v="3"/>
    <x v="0"/>
    <n v="4"/>
  </r>
  <r>
    <x v="710"/>
    <d v="2023-07-04T00:00:00"/>
    <s v="Senin"/>
    <x v="1"/>
    <s v="Q2"/>
    <n v="2024"/>
    <s v="Pagi (08-12)"/>
    <s v="Teh Botol"/>
    <x v="0"/>
    <n v="6000"/>
    <n v="9"/>
    <n v="0"/>
    <n v="54000"/>
    <n v="38161"/>
    <n v="15839"/>
    <n v="29.33"/>
    <x v="0"/>
    <s v="Dewi"/>
    <x v="1"/>
    <x v="0"/>
    <n v="3"/>
  </r>
  <r>
    <x v="711"/>
    <d v="2023-01-14T00:00:00"/>
    <s v="Kamis"/>
    <x v="9"/>
    <s v="Q3"/>
    <n v="2024"/>
    <s v="Sore (16-20)"/>
    <s v="Sabun Lifebuoy"/>
    <x v="2"/>
    <n v="8000"/>
    <n v="9"/>
    <n v="0"/>
    <n v="72000"/>
    <n v="41041"/>
    <n v="30959"/>
    <n v="43"/>
    <x v="4"/>
    <s v="Siti"/>
    <x v="2"/>
    <x v="1"/>
    <n v="1"/>
  </r>
  <r>
    <x v="712"/>
    <d v="2024-02-16T00:00:00"/>
    <s v="Sabtu"/>
    <x v="11"/>
    <s v="Q2"/>
    <n v="2023"/>
    <s v="Siang (12-16)"/>
    <s v="Cheetos"/>
    <x v="1"/>
    <n v="11000"/>
    <n v="7"/>
    <n v="0"/>
    <n v="77000"/>
    <n v="54613"/>
    <n v="22387"/>
    <n v="29.07"/>
    <x v="4"/>
    <s v="Siti"/>
    <x v="3"/>
    <x v="1"/>
    <n v="1"/>
  </r>
  <r>
    <x v="713"/>
    <d v="2023-05-03T00:00:00"/>
    <s v="Sabtu"/>
    <x v="11"/>
    <s v="Q2"/>
    <n v="2023"/>
    <s v="Malam (20-22)"/>
    <s v="Lip Balm Nivea"/>
    <x v="3"/>
    <n v="18000"/>
    <n v="2"/>
    <n v="20"/>
    <n v="28800"/>
    <n v="16059"/>
    <n v="12741"/>
    <n v="44.24"/>
    <x v="2"/>
    <s v="Dewi"/>
    <x v="2"/>
    <x v="1"/>
    <n v="4"/>
  </r>
  <r>
    <x v="714"/>
    <d v="2024-08-26T00:00:00"/>
    <s v="Rabu"/>
    <x v="11"/>
    <s v="Q2"/>
    <n v="2024"/>
    <s v="Sore (16-20)"/>
    <s v="Deodorant Rexona"/>
    <x v="3"/>
    <n v="20000"/>
    <n v="3"/>
    <n v="10"/>
    <n v="54000"/>
    <n v="35543"/>
    <n v="18457"/>
    <n v="34.18"/>
    <x v="2"/>
    <s v="Agus"/>
    <x v="3"/>
    <x v="0"/>
    <n v="5"/>
  </r>
  <r>
    <x v="715"/>
    <d v="2023-09-04T00:00:00"/>
    <s v="Senin"/>
    <x v="10"/>
    <s v="Q4"/>
    <n v="2024"/>
    <s v="Malam (20-22)"/>
    <s v="Hand Sanitizer"/>
    <x v="3"/>
    <n v="12000"/>
    <n v="7"/>
    <n v="0"/>
    <n v="84000"/>
    <n v="59055"/>
    <n v="24945"/>
    <n v="29.7"/>
    <x v="4"/>
    <s v="Dewi"/>
    <x v="0"/>
    <x v="1"/>
    <n v="1"/>
  </r>
  <r>
    <x v="716"/>
    <d v="2023-10-24T00:00:00"/>
    <s v="Senin"/>
    <x v="7"/>
    <s v="Q2"/>
    <n v="2023"/>
    <s v="Pagi (08-12)"/>
    <s v="Susu Ultra"/>
    <x v="0"/>
    <n v="9000"/>
    <n v="5"/>
    <n v="10"/>
    <n v="40500"/>
    <n v="26717"/>
    <n v="13783"/>
    <n v="34.03"/>
    <x v="3"/>
    <s v="Rina"/>
    <x v="3"/>
    <x v="0"/>
    <n v="4"/>
  </r>
  <r>
    <x v="717"/>
    <d v="2023-08-20T00:00:00"/>
    <s v="Rabu"/>
    <x v="11"/>
    <s v="Q2"/>
    <n v="2024"/>
    <s v="Malam (20-22)"/>
    <s v="Aqua 1.5L"/>
    <x v="0"/>
    <n v="5000"/>
    <n v="9"/>
    <n v="0"/>
    <n v="45000"/>
    <n v="32112"/>
    <n v="12888"/>
    <n v="28.64"/>
    <x v="4"/>
    <s v="Budi"/>
    <x v="3"/>
    <x v="0"/>
    <n v="5"/>
  </r>
  <r>
    <x v="718"/>
    <d v="2024-04-25T00:00:00"/>
    <s v="Jumat"/>
    <x v="6"/>
    <s v="Q3"/>
    <n v="2024"/>
    <s v="Siang (12-16)"/>
    <s v="Deterjen Rinso"/>
    <x v="2"/>
    <n v="22000"/>
    <n v="10"/>
    <n v="0"/>
    <n v="220000"/>
    <n v="139381"/>
    <n v="80619"/>
    <n v="36.65"/>
    <x v="0"/>
    <s v="Siti"/>
    <x v="1"/>
    <x v="1"/>
    <n v="1"/>
  </r>
  <r>
    <x v="719"/>
    <d v="2024-09-11T00:00:00"/>
    <s v="Senin"/>
    <x v="7"/>
    <s v="Q2"/>
    <n v="2024"/>
    <s v="Sore (16-20)"/>
    <s v="Deterjen Rinso"/>
    <x v="2"/>
    <n v="22000"/>
    <n v="5"/>
    <n v="0"/>
    <n v="110000"/>
    <n v="62644"/>
    <n v="47356"/>
    <n v="43.05"/>
    <x v="0"/>
    <s v="Dewi"/>
    <x v="3"/>
    <x v="0"/>
    <n v="2"/>
  </r>
  <r>
    <x v="720"/>
    <d v="2024-04-27T00:00:00"/>
    <s v="Selasa"/>
    <x v="6"/>
    <s v="Q3"/>
    <n v="2023"/>
    <s v="Siang (12-16)"/>
    <s v="Teh Botol"/>
    <x v="0"/>
    <n v="6000"/>
    <n v="5"/>
    <n v="5"/>
    <n v="28500"/>
    <n v="18963"/>
    <n v="9537"/>
    <n v="33.46"/>
    <x v="0"/>
    <s v="Dewi"/>
    <x v="2"/>
    <x v="0"/>
    <n v="1"/>
  </r>
  <r>
    <x v="721"/>
    <d v="2023-12-09T00:00:00"/>
    <s v="Kamis"/>
    <x v="10"/>
    <s v="Q4"/>
    <n v="2023"/>
    <s v="Pagi (08-12)"/>
    <s v="Kecap ABC"/>
    <x v="4"/>
    <n v="14000"/>
    <n v="6"/>
    <n v="0"/>
    <n v="84000"/>
    <n v="52095"/>
    <n v="31905"/>
    <n v="37.979999999999997"/>
    <x v="4"/>
    <s v="Siti"/>
    <x v="1"/>
    <x v="0"/>
    <n v="2"/>
  </r>
  <r>
    <x v="722"/>
    <d v="2023-11-20T00:00:00"/>
    <s v="Minggu"/>
    <x v="6"/>
    <s v="Q3"/>
    <n v="2023"/>
    <s v="Sore (16-20)"/>
    <s v="Kapas Kecantikan"/>
    <x v="3"/>
    <n v="8000"/>
    <n v="4"/>
    <n v="5"/>
    <n v="30400"/>
    <n v="19349"/>
    <n v="11051"/>
    <n v="36.35"/>
    <x v="3"/>
    <s v="Agus"/>
    <x v="0"/>
    <x v="0"/>
    <n v="3"/>
  </r>
  <r>
    <x v="723"/>
    <d v="2023-07-13T00:00:00"/>
    <s v="Sabtu"/>
    <x v="1"/>
    <s v="Q2"/>
    <n v="2024"/>
    <s v="Pagi (08-12)"/>
    <s v="Hand Sanitizer"/>
    <x v="3"/>
    <n v="12000"/>
    <n v="2"/>
    <n v="5"/>
    <n v="22800"/>
    <n v="12652"/>
    <n v="10148"/>
    <n v="44.51"/>
    <x v="1"/>
    <s v="Rina"/>
    <x v="2"/>
    <x v="0"/>
    <n v="5"/>
  </r>
  <r>
    <x v="724"/>
    <d v="2024-03-25T00:00:00"/>
    <s v="Selasa"/>
    <x v="0"/>
    <s v="Q4"/>
    <n v="2024"/>
    <s v="Sore (16-20)"/>
    <s v="Qtela"/>
    <x v="1"/>
    <n v="14000"/>
    <n v="10"/>
    <n v="5"/>
    <n v="133000"/>
    <n v="83234"/>
    <n v="49766"/>
    <n v="37.42"/>
    <x v="3"/>
    <s v="Budi"/>
    <x v="3"/>
    <x v="0"/>
    <n v="2"/>
  </r>
  <r>
    <x v="725"/>
    <d v="2023-08-20T00:00:00"/>
    <s v="Kamis"/>
    <x v="4"/>
    <s v="Q3"/>
    <n v="2024"/>
    <s v="Siang (12-16)"/>
    <s v="Gula Pasir 1kg"/>
    <x v="4"/>
    <n v="16000"/>
    <n v="8"/>
    <n v="0"/>
    <n v="128000"/>
    <n v="70422"/>
    <n v="57578"/>
    <n v="44.98"/>
    <x v="2"/>
    <s v="Dewi"/>
    <x v="2"/>
    <x v="0"/>
    <n v="1"/>
  </r>
  <r>
    <x v="726"/>
    <d v="2024-04-29T00:00:00"/>
    <s v="Rabu"/>
    <x v="11"/>
    <s v="Q2"/>
    <n v="2024"/>
    <s v="Sore (16-20)"/>
    <s v="Softex"/>
    <x v="2"/>
    <n v="18000"/>
    <n v="5"/>
    <n v="20"/>
    <n v="72000"/>
    <n v="47923"/>
    <n v="24077"/>
    <n v="33.44"/>
    <x v="4"/>
    <s v="Budi"/>
    <x v="4"/>
    <x v="0"/>
    <n v="2"/>
  </r>
  <r>
    <x v="727"/>
    <d v="2023-12-16T00:00:00"/>
    <s v="Minggu"/>
    <x v="7"/>
    <s v="Q2"/>
    <n v="2024"/>
    <s v="Sore (16-20)"/>
    <s v="Pelembab Vaseline"/>
    <x v="3"/>
    <n v="25000"/>
    <n v="5"/>
    <n v="0"/>
    <n v="125000"/>
    <n v="77150"/>
    <n v="47850"/>
    <n v="38.28"/>
    <x v="0"/>
    <s v="Budi"/>
    <x v="4"/>
    <x v="1"/>
    <n v="2"/>
  </r>
  <r>
    <x v="728"/>
    <d v="2024-05-11T00:00:00"/>
    <s v="Selasa"/>
    <x v="6"/>
    <s v="Q3"/>
    <n v="2024"/>
    <s v="Sore (16-20)"/>
    <s v="Lip Balm Nivea"/>
    <x v="3"/>
    <n v="18000"/>
    <n v="6"/>
    <n v="15"/>
    <n v="91800"/>
    <n v="54569"/>
    <n v="37231"/>
    <n v="40.56"/>
    <x v="2"/>
    <s v="Siti"/>
    <x v="3"/>
    <x v="1"/>
    <n v="2"/>
  </r>
  <r>
    <x v="729"/>
    <d v="2024-02-26T00:00:00"/>
    <s v="Senin"/>
    <x v="1"/>
    <s v="Q2"/>
    <n v="2024"/>
    <s v="Pagi (08-12)"/>
    <s v="Lip Balm Nivea"/>
    <x v="3"/>
    <n v="18000"/>
    <n v="1"/>
    <n v="15"/>
    <n v="15300"/>
    <n v="8763"/>
    <n v="6537"/>
    <n v="42.73"/>
    <x v="0"/>
    <s v="Dewi"/>
    <x v="1"/>
    <x v="0"/>
    <n v="2"/>
  </r>
  <r>
    <x v="730"/>
    <d v="2024-05-30T00:00:00"/>
    <s v="Rabu"/>
    <x v="5"/>
    <s v="Q1"/>
    <n v="2024"/>
    <s v="Malam (20-22)"/>
    <s v="Hand Sanitizer"/>
    <x v="3"/>
    <n v="12000"/>
    <n v="7"/>
    <n v="10"/>
    <n v="75600"/>
    <n v="42623"/>
    <n v="32977"/>
    <n v="43.62"/>
    <x v="0"/>
    <s v="Dewi"/>
    <x v="0"/>
    <x v="0"/>
    <n v="3"/>
  </r>
  <r>
    <x v="731"/>
    <d v="2024-11-02T00:00:00"/>
    <s v="Minggu"/>
    <x v="2"/>
    <s v="Q1"/>
    <n v="2024"/>
    <s v="Sore (16-20)"/>
    <s v="Lip Balm Nivea"/>
    <x v="3"/>
    <n v="18000"/>
    <n v="7"/>
    <n v="0"/>
    <n v="126000"/>
    <n v="87275"/>
    <n v="38725"/>
    <n v="30.73"/>
    <x v="0"/>
    <s v="Rina"/>
    <x v="1"/>
    <x v="0"/>
    <n v="4"/>
  </r>
  <r>
    <x v="732"/>
    <d v="2024-01-26T00:00:00"/>
    <s v="Selasa"/>
    <x v="2"/>
    <s v="Q1"/>
    <n v="2023"/>
    <s v="Sore (16-20)"/>
    <s v="Chitato"/>
    <x v="1"/>
    <n v="12000"/>
    <n v="5"/>
    <n v="15"/>
    <n v="51000"/>
    <n v="36039"/>
    <n v="14961"/>
    <n v="29.34"/>
    <x v="4"/>
    <s v="Budi"/>
    <x v="0"/>
    <x v="0"/>
    <n v="2"/>
  </r>
  <r>
    <x v="733"/>
    <d v="2024-10-11T00:00:00"/>
    <s v="Senin"/>
    <x v="11"/>
    <s v="Q2"/>
    <n v="2024"/>
    <s v="Siang (12-16)"/>
    <s v="Sabun Lifebuoy"/>
    <x v="2"/>
    <n v="8000"/>
    <n v="5"/>
    <n v="5"/>
    <n v="38000"/>
    <n v="26743"/>
    <n v="11257"/>
    <n v="29.62"/>
    <x v="3"/>
    <s v="Budi"/>
    <x v="0"/>
    <x v="1"/>
    <n v="1"/>
  </r>
  <r>
    <x v="734"/>
    <d v="2024-01-20T00:00:00"/>
    <s v="Kamis"/>
    <x v="0"/>
    <s v="Q4"/>
    <n v="2023"/>
    <s v="Siang (12-16)"/>
    <s v="Kapas Kecantikan"/>
    <x v="3"/>
    <n v="8000"/>
    <n v="8"/>
    <n v="0"/>
    <n v="64000"/>
    <n v="41203"/>
    <n v="22797"/>
    <n v="35.619999999999997"/>
    <x v="3"/>
    <s v="Dewi"/>
    <x v="4"/>
    <x v="0"/>
    <n v="5"/>
  </r>
  <r>
    <x v="735"/>
    <d v="2024-11-18T00:00:00"/>
    <s v="Jumat"/>
    <x v="11"/>
    <s v="Q2"/>
    <n v="2023"/>
    <s v="Pagi (08-12)"/>
    <s v="Teh Botol"/>
    <x v="0"/>
    <n v="6000"/>
    <n v="5"/>
    <n v="10"/>
    <n v="27000"/>
    <n v="18777"/>
    <n v="8223"/>
    <n v="30.46"/>
    <x v="3"/>
    <s v="Siti"/>
    <x v="3"/>
    <x v="1"/>
    <n v="5"/>
  </r>
  <r>
    <x v="736"/>
    <d v="2024-11-12T00:00:00"/>
    <s v="Selasa"/>
    <x v="1"/>
    <s v="Q2"/>
    <n v="2024"/>
    <s v="Pagi (08-12)"/>
    <s v="Kopi Kapal Api"/>
    <x v="0"/>
    <n v="12000"/>
    <n v="1"/>
    <n v="20"/>
    <n v="9600"/>
    <n v="6812"/>
    <n v="2788"/>
    <n v="29.04"/>
    <x v="2"/>
    <s v="Agus"/>
    <x v="2"/>
    <x v="1"/>
    <n v="4"/>
  </r>
  <r>
    <x v="737"/>
    <d v="2023-07-24T00:00:00"/>
    <s v="Sabtu"/>
    <x v="2"/>
    <s v="Q1"/>
    <n v="2024"/>
    <s v="Sore (16-20)"/>
    <s v="Pelembab Vaseline"/>
    <x v="3"/>
    <n v="25000"/>
    <n v="4"/>
    <n v="0"/>
    <n v="100000"/>
    <n v="59725"/>
    <n v="40275"/>
    <n v="40.270000000000003"/>
    <x v="2"/>
    <s v="Dewi"/>
    <x v="1"/>
    <x v="0"/>
    <n v="4"/>
  </r>
  <r>
    <x v="738"/>
    <d v="2023-10-10T00:00:00"/>
    <s v="Rabu"/>
    <x v="4"/>
    <s v="Q3"/>
    <n v="2023"/>
    <s v="Siang (12-16)"/>
    <s v="Sabun Lifebuoy"/>
    <x v="2"/>
    <n v="8000"/>
    <n v="10"/>
    <n v="20"/>
    <n v="64000"/>
    <n v="35476"/>
    <n v="28524"/>
    <n v="44.57"/>
    <x v="1"/>
    <s v="Agus"/>
    <x v="0"/>
    <x v="0"/>
    <n v="2"/>
  </r>
  <r>
    <x v="739"/>
    <d v="2024-09-28T00:00:00"/>
    <s v="Senin"/>
    <x v="8"/>
    <s v="Q4"/>
    <n v="2023"/>
    <s v="Sore (16-20)"/>
    <s v="Sabun Lifebuoy"/>
    <x v="2"/>
    <n v="8000"/>
    <n v="2"/>
    <n v="0"/>
    <n v="16000"/>
    <n v="10106"/>
    <n v="5894"/>
    <n v="36.840000000000003"/>
    <x v="0"/>
    <s v="Dewi"/>
    <x v="2"/>
    <x v="0"/>
    <n v="1"/>
  </r>
  <r>
    <x v="740"/>
    <d v="2023-10-31T00:00:00"/>
    <s v="Senin"/>
    <x v="1"/>
    <s v="Q2"/>
    <n v="2024"/>
    <s v="Malam (20-22)"/>
    <s v="Qtela"/>
    <x v="1"/>
    <n v="14000"/>
    <n v="1"/>
    <n v="20"/>
    <n v="11200"/>
    <n v="6795"/>
    <n v="4405"/>
    <n v="39.33"/>
    <x v="1"/>
    <s v="Rina"/>
    <x v="4"/>
    <x v="0"/>
    <n v="4"/>
  </r>
  <r>
    <x v="741"/>
    <d v="2024-05-09T00:00:00"/>
    <s v="Kamis"/>
    <x v="9"/>
    <s v="Q3"/>
    <n v="2024"/>
    <s v="Malam (20-22)"/>
    <s v="Aqua 1.5L"/>
    <x v="0"/>
    <n v="5000"/>
    <n v="1"/>
    <n v="0"/>
    <n v="5000"/>
    <n v="3071"/>
    <n v="1929"/>
    <n v="38.58"/>
    <x v="0"/>
    <s v="Budi"/>
    <x v="0"/>
    <x v="0"/>
    <n v="3"/>
  </r>
  <r>
    <x v="742"/>
    <d v="2023-01-16T00:00:00"/>
    <s v="Selasa"/>
    <x v="6"/>
    <s v="Q3"/>
    <n v="2024"/>
    <s v="Malam (20-22)"/>
    <s v="Kecap ABC"/>
    <x v="4"/>
    <n v="14000"/>
    <n v="2"/>
    <n v="15"/>
    <n v="23800"/>
    <n v="13316"/>
    <n v="10484"/>
    <n v="44.05"/>
    <x v="0"/>
    <s v="Siti"/>
    <x v="1"/>
    <x v="0"/>
    <n v="5"/>
  </r>
  <r>
    <x v="743"/>
    <d v="2024-04-28T00:00:00"/>
    <s v="Minggu"/>
    <x v="5"/>
    <s v="Q1"/>
    <n v="2024"/>
    <s v="Pagi (08-12)"/>
    <s v="Cheetos"/>
    <x v="1"/>
    <n v="11000"/>
    <n v="10"/>
    <n v="0"/>
    <n v="110000"/>
    <n v="68979"/>
    <n v="41021"/>
    <n v="37.29"/>
    <x v="2"/>
    <s v="Agus"/>
    <x v="4"/>
    <x v="1"/>
    <n v="1"/>
  </r>
  <r>
    <x v="744"/>
    <d v="2023-05-25T00:00:00"/>
    <s v="Selasa"/>
    <x v="1"/>
    <s v="Q2"/>
    <n v="2024"/>
    <s v="Siang (12-16)"/>
    <s v="Lip Balm Nivea"/>
    <x v="3"/>
    <n v="18000"/>
    <n v="10"/>
    <n v="0"/>
    <n v="180000"/>
    <n v="102305"/>
    <n v="77695"/>
    <n v="43.16"/>
    <x v="0"/>
    <s v="Dewi"/>
    <x v="0"/>
    <x v="0"/>
    <n v="5"/>
  </r>
  <r>
    <x v="745"/>
    <d v="2024-11-18T00:00:00"/>
    <s v="Rabu"/>
    <x v="6"/>
    <s v="Q3"/>
    <n v="2023"/>
    <s v="Pagi (08-12)"/>
    <s v="Deterjen Rinso"/>
    <x v="2"/>
    <n v="22000"/>
    <n v="8"/>
    <n v="15"/>
    <n v="149600"/>
    <n v="98069"/>
    <n v="51531"/>
    <n v="34.450000000000003"/>
    <x v="1"/>
    <s v="Budi"/>
    <x v="3"/>
    <x v="0"/>
    <n v="2"/>
  </r>
  <r>
    <x v="746"/>
    <d v="2024-12-08T00:00:00"/>
    <s v="Kamis"/>
    <x v="10"/>
    <s v="Q4"/>
    <n v="2023"/>
    <s v="Siang (12-16)"/>
    <s v="Hand Sanitizer"/>
    <x v="3"/>
    <n v="12000"/>
    <n v="9"/>
    <n v="15"/>
    <n v="91800"/>
    <n v="62263"/>
    <n v="29537"/>
    <n v="32.18"/>
    <x v="4"/>
    <s v="Dewi"/>
    <x v="4"/>
    <x v="0"/>
    <n v="4"/>
  </r>
  <r>
    <x v="747"/>
    <d v="2023-10-11T00:00:00"/>
    <s v="Senin"/>
    <x v="10"/>
    <s v="Q4"/>
    <n v="2023"/>
    <s v="Pagi (08-12)"/>
    <s v="Lip Balm Nivea"/>
    <x v="3"/>
    <n v="18000"/>
    <n v="5"/>
    <n v="0"/>
    <n v="90000"/>
    <n v="64345"/>
    <n v="25655"/>
    <n v="28.51"/>
    <x v="3"/>
    <s v="Dewi"/>
    <x v="3"/>
    <x v="0"/>
    <n v="5"/>
  </r>
  <r>
    <x v="748"/>
    <d v="2024-08-02T00:00:00"/>
    <s v="Jumat"/>
    <x v="4"/>
    <s v="Q3"/>
    <n v="2024"/>
    <s v="Siang (12-16)"/>
    <s v="Kopi Kapal Api"/>
    <x v="0"/>
    <n v="12000"/>
    <n v="6"/>
    <n v="0"/>
    <n v="72000"/>
    <n v="51552"/>
    <n v="20448"/>
    <n v="28.4"/>
    <x v="1"/>
    <s v="Rina"/>
    <x v="2"/>
    <x v="1"/>
    <n v="4"/>
  </r>
  <r>
    <x v="749"/>
    <d v="2023-05-15T00:00:00"/>
    <s v="Jumat"/>
    <x v="6"/>
    <s v="Q3"/>
    <n v="2024"/>
    <s v="Pagi (08-12)"/>
    <s v="Softex"/>
    <x v="2"/>
    <n v="18000"/>
    <n v="10"/>
    <n v="0"/>
    <n v="180000"/>
    <n v="117853"/>
    <n v="62147"/>
    <n v="34.53"/>
    <x v="2"/>
    <s v="Siti"/>
    <x v="3"/>
    <x v="1"/>
    <n v="1"/>
  </r>
  <r>
    <x v="750"/>
    <d v="2023-11-29T00:00:00"/>
    <s v="Rabu"/>
    <x v="11"/>
    <s v="Q2"/>
    <n v="2024"/>
    <s v="Malam (20-22)"/>
    <s v="Chitato"/>
    <x v="1"/>
    <n v="12000"/>
    <n v="4"/>
    <n v="15"/>
    <n v="40800"/>
    <n v="24037"/>
    <n v="16763"/>
    <n v="41.09"/>
    <x v="3"/>
    <s v="Budi"/>
    <x v="3"/>
    <x v="1"/>
    <n v="4"/>
  </r>
  <r>
    <x v="751"/>
    <d v="2024-01-07T00:00:00"/>
    <s v="Minggu"/>
    <x v="4"/>
    <s v="Q3"/>
    <n v="2023"/>
    <s v="Pagi (08-12)"/>
    <s v="Saos Sambal"/>
    <x v="4"/>
    <n v="10000"/>
    <n v="1"/>
    <n v="0"/>
    <n v="10000"/>
    <n v="5517"/>
    <n v="4483"/>
    <n v="44.83"/>
    <x v="4"/>
    <s v="Rina"/>
    <x v="4"/>
    <x v="0"/>
    <n v="3"/>
  </r>
  <r>
    <x v="752"/>
    <d v="2023-03-05T00:00:00"/>
    <s v="Selasa"/>
    <x v="3"/>
    <s v="Q1"/>
    <n v="2024"/>
    <s v="Siang (12-16)"/>
    <s v="Cheetos"/>
    <x v="1"/>
    <n v="11000"/>
    <n v="6"/>
    <n v="0"/>
    <n v="66000"/>
    <n v="47243"/>
    <n v="18757"/>
    <n v="28.42"/>
    <x v="1"/>
    <s v="Budi"/>
    <x v="2"/>
    <x v="0"/>
    <n v="3"/>
  </r>
  <r>
    <x v="753"/>
    <d v="2023-05-11T00:00:00"/>
    <s v="Rabu"/>
    <x v="7"/>
    <s v="Q2"/>
    <n v="2023"/>
    <s v="Pagi (08-12)"/>
    <s v="Softex"/>
    <x v="2"/>
    <n v="18000"/>
    <n v="4"/>
    <n v="0"/>
    <n v="72000"/>
    <n v="41999"/>
    <n v="30001"/>
    <n v="41.67"/>
    <x v="1"/>
    <s v="Siti"/>
    <x v="0"/>
    <x v="0"/>
    <n v="4"/>
  </r>
  <r>
    <x v="754"/>
    <d v="2024-09-12T00:00:00"/>
    <s v="Jumat"/>
    <x v="10"/>
    <s v="Q4"/>
    <n v="2024"/>
    <s v="Malam (20-22)"/>
    <s v="Pocari Sweat"/>
    <x v="0"/>
    <n v="8000"/>
    <n v="4"/>
    <n v="0"/>
    <n v="32000"/>
    <n v="20082"/>
    <n v="11918"/>
    <n v="37.24"/>
    <x v="4"/>
    <s v="Siti"/>
    <x v="3"/>
    <x v="0"/>
    <n v="1"/>
  </r>
  <r>
    <x v="755"/>
    <d v="2023-12-15T00:00:00"/>
    <s v="Minggu"/>
    <x v="11"/>
    <s v="Q2"/>
    <n v="2023"/>
    <s v="Malam (20-22)"/>
    <s v="Oreo"/>
    <x v="1"/>
    <n v="10000"/>
    <n v="4"/>
    <n v="10"/>
    <n v="36000"/>
    <n v="22115"/>
    <n v="13885"/>
    <n v="38.57"/>
    <x v="4"/>
    <s v="Siti"/>
    <x v="4"/>
    <x v="0"/>
    <n v="1"/>
  </r>
  <r>
    <x v="756"/>
    <d v="2023-03-11T00:00:00"/>
    <s v="Minggu"/>
    <x v="6"/>
    <s v="Q3"/>
    <n v="2024"/>
    <s v="Sore (16-20)"/>
    <s v="Deodorant Rexona"/>
    <x v="3"/>
    <n v="20000"/>
    <n v="9"/>
    <n v="0"/>
    <n v="180000"/>
    <n v="123161"/>
    <n v="56839"/>
    <n v="31.58"/>
    <x v="4"/>
    <s v="Budi"/>
    <x v="0"/>
    <x v="0"/>
    <n v="5"/>
  </r>
  <r>
    <x v="757"/>
    <d v="2024-02-26T00:00:00"/>
    <s v="Rabu"/>
    <x v="9"/>
    <s v="Q3"/>
    <n v="2024"/>
    <s v="Malam (20-22)"/>
    <s v="Saos Sambal"/>
    <x v="4"/>
    <n v="10000"/>
    <n v="2"/>
    <n v="20"/>
    <n v="16000"/>
    <n v="10080"/>
    <n v="5920"/>
    <n v="37"/>
    <x v="3"/>
    <s v="Rina"/>
    <x v="3"/>
    <x v="1"/>
    <n v="4"/>
  </r>
  <r>
    <x v="758"/>
    <d v="2023-08-19T00:00:00"/>
    <s v="Sabtu"/>
    <x v="7"/>
    <s v="Q2"/>
    <n v="2024"/>
    <s v="Sore (16-20)"/>
    <s v="Saos Sambal"/>
    <x v="4"/>
    <n v="10000"/>
    <n v="6"/>
    <n v="15"/>
    <n v="51000"/>
    <n v="31292"/>
    <n v="19708"/>
    <n v="38.64"/>
    <x v="2"/>
    <s v="Agus"/>
    <x v="1"/>
    <x v="1"/>
    <n v="5"/>
  </r>
  <r>
    <x v="759"/>
    <d v="2024-11-05T00:00:00"/>
    <s v="Minggu"/>
    <x v="0"/>
    <s v="Q4"/>
    <n v="2024"/>
    <s v="Sore (16-20)"/>
    <s v="Teh Botol"/>
    <x v="0"/>
    <n v="6000"/>
    <n v="4"/>
    <n v="0"/>
    <n v="24000"/>
    <n v="15044"/>
    <n v="8956"/>
    <n v="37.32"/>
    <x v="1"/>
    <s v="Agus"/>
    <x v="3"/>
    <x v="1"/>
    <n v="4"/>
  </r>
  <r>
    <x v="760"/>
    <d v="2024-08-03T00:00:00"/>
    <s v="Kamis"/>
    <x v="9"/>
    <s v="Q3"/>
    <n v="2024"/>
    <s v="Sore (16-20)"/>
    <s v="Qtela"/>
    <x v="1"/>
    <n v="14000"/>
    <n v="5"/>
    <n v="10"/>
    <n v="63000"/>
    <n v="35558"/>
    <n v="27442"/>
    <n v="43.56"/>
    <x v="0"/>
    <s v="Siti"/>
    <x v="1"/>
    <x v="0"/>
    <n v="5"/>
  </r>
  <r>
    <x v="761"/>
    <d v="2024-04-10T00:00:00"/>
    <s v="Minggu"/>
    <x v="5"/>
    <s v="Q1"/>
    <n v="2023"/>
    <s v="Sore (16-20)"/>
    <s v="Gula Pasir 1kg"/>
    <x v="4"/>
    <n v="16000"/>
    <n v="10"/>
    <n v="0"/>
    <n v="160000"/>
    <n v="99590"/>
    <n v="60410"/>
    <n v="37.76"/>
    <x v="2"/>
    <s v="Agus"/>
    <x v="1"/>
    <x v="1"/>
    <n v="3"/>
  </r>
  <r>
    <x v="762"/>
    <d v="2024-09-25T00:00:00"/>
    <s v="Sabtu"/>
    <x v="0"/>
    <s v="Q4"/>
    <n v="2023"/>
    <s v="Sore (16-20)"/>
    <s v="Kecap ABC"/>
    <x v="4"/>
    <n v="14000"/>
    <n v="3"/>
    <n v="5"/>
    <n v="39900"/>
    <n v="23531"/>
    <n v="16369"/>
    <n v="41.03"/>
    <x v="0"/>
    <s v="Siti"/>
    <x v="0"/>
    <x v="0"/>
    <n v="3"/>
  </r>
  <r>
    <x v="763"/>
    <d v="2024-06-09T00:00:00"/>
    <s v="Selasa"/>
    <x v="9"/>
    <s v="Q3"/>
    <n v="2023"/>
    <s v="Sore (16-20)"/>
    <s v="Aqua 1.5L"/>
    <x v="0"/>
    <n v="5000"/>
    <n v="2"/>
    <n v="0"/>
    <n v="10000"/>
    <n v="5565"/>
    <n v="4435"/>
    <n v="44.35"/>
    <x v="1"/>
    <s v="Siti"/>
    <x v="3"/>
    <x v="1"/>
    <n v="3"/>
  </r>
  <r>
    <x v="764"/>
    <d v="2024-02-10T00:00:00"/>
    <s v="Sabtu"/>
    <x v="10"/>
    <s v="Q4"/>
    <n v="2024"/>
    <s v="Sore (16-20)"/>
    <s v="Shampo Sunsilk"/>
    <x v="2"/>
    <n v="15000"/>
    <n v="10"/>
    <n v="0"/>
    <n v="150000"/>
    <n v="107959"/>
    <n v="42041"/>
    <n v="28.03"/>
    <x v="3"/>
    <s v="Siti"/>
    <x v="0"/>
    <x v="1"/>
    <n v="3"/>
  </r>
  <r>
    <x v="765"/>
    <d v="2023-01-09T00:00:00"/>
    <s v="Minggu"/>
    <x v="5"/>
    <s v="Q1"/>
    <n v="2024"/>
    <s v="Siang (12-16)"/>
    <s v="Gula Pasir 1kg"/>
    <x v="4"/>
    <n v="16000"/>
    <n v="1"/>
    <n v="5"/>
    <n v="15200"/>
    <n v="10050"/>
    <n v="5150"/>
    <n v="33.880000000000003"/>
    <x v="1"/>
    <s v="Agus"/>
    <x v="3"/>
    <x v="0"/>
    <n v="4"/>
  </r>
  <r>
    <x v="766"/>
    <d v="2023-02-14T00:00:00"/>
    <s v="Senin"/>
    <x v="9"/>
    <s v="Q3"/>
    <n v="2023"/>
    <s v="Sore (16-20)"/>
    <s v="Kapas Kecantikan"/>
    <x v="3"/>
    <n v="8000"/>
    <n v="9"/>
    <n v="20"/>
    <n v="57600"/>
    <n v="36270"/>
    <n v="21330"/>
    <n v="37.03"/>
    <x v="2"/>
    <s v="Siti"/>
    <x v="0"/>
    <x v="0"/>
    <n v="4"/>
  </r>
  <r>
    <x v="767"/>
    <d v="2023-04-29T00:00:00"/>
    <s v="Minggu"/>
    <x v="8"/>
    <s v="Q4"/>
    <n v="2024"/>
    <s v="Siang (12-16)"/>
    <s v="Saos Sambal"/>
    <x v="4"/>
    <n v="10000"/>
    <n v="8"/>
    <n v="5"/>
    <n v="76000"/>
    <n v="52820"/>
    <n v="23180"/>
    <n v="30.5"/>
    <x v="0"/>
    <s v="Siti"/>
    <x v="3"/>
    <x v="1"/>
    <n v="1"/>
  </r>
  <r>
    <x v="768"/>
    <d v="2023-09-08T00:00:00"/>
    <s v="Minggu"/>
    <x v="11"/>
    <s v="Q2"/>
    <n v="2024"/>
    <s v="Sore (16-20)"/>
    <s v="Pasta Gigi Pepsodent"/>
    <x v="2"/>
    <n v="12000"/>
    <n v="4"/>
    <n v="5"/>
    <n v="45600"/>
    <n v="28380"/>
    <n v="17220"/>
    <n v="37.76"/>
    <x v="2"/>
    <s v="Dewi"/>
    <x v="2"/>
    <x v="0"/>
    <n v="5"/>
  </r>
  <r>
    <x v="769"/>
    <d v="2024-06-07T00:00:00"/>
    <s v="Kamis"/>
    <x v="5"/>
    <s v="Q1"/>
    <n v="2023"/>
    <s v="Malam (20-22)"/>
    <s v="Oreo"/>
    <x v="1"/>
    <n v="10000"/>
    <n v="6"/>
    <n v="10"/>
    <n v="54000"/>
    <n v="35482"/>
    <n v="18518"/>
    <n v="34.29"/>
    <x v="3"/>
    <s v="Dewi"/>
    <x v="4"/>
    <x v="1"/>
    <n v="2"/>
  </r>
  <r>
    <x v="770"/>
    <d v="2023-09-21T00:00:00"/>
    <s v="Senin"/>
    <x v="5"/>
    <s v="Q1"/>
    <n v="2024"/>
    <s v="Sore (16-20)"/>
    <s v="Susu Ultra"/>
    <x v="0"/>
    <n v="9000"/>
    <n v="7"/>
    <n v="0"/>
    <n v="63000"/>
    <n v="39735"/>
    <n v="23265"/>
    <n v="36.93"/>
    <x v="4"/>
    <s v="Dewi"/>
    <x v="1"/>
    <x v="0"/>
    <n v="2"/>
  </r>
  <r>
    <x v="771"/>
    <d v="2024-10-21T00:00:00"/>
    <s v="Senin"/>
    <x v="1"/>
    <s v="Q2"/>
    <n v="2023"/>
    <s v="Siang (12-16)"/>
    <s v="Deodorant Rexona"/>
    <x v="3"/>
    <n v="20000"/>
    <n v="1"/>
    <n v="20"/>
    <n v="16000"/>
    <n v="10674"/>
    <n v="5326"/>
    <n v="33.29"/>
    <x v="2"/>
    <s v="Rina"/>
    <x v="3"/>
    <x v="0"/>
    <n v="4"/>
  </r>
  <r>
    <x v="772"/>
    <d v="2024-06-04T00:00:00"/>
    <s v="Rabu"/>
    <x v="0"/>
    <s v="Q4"/>
    <n v="2023"/>
    <s v="Pagi (08-12)"/>
    <s v="Oreo"/>
    <x v="1"/>
    <n v="10000"/>
    <n v="5"/>
    <n v="15"/>
    <n v="42500"/>
    <n v="27164"/>
    <n v="15336"/>
    <n v="36.08"/>
    <x v="2"/>
    <s v="Rina"/>
    <x v="2"/>
    <x v="0"/>
    <n v="3"/>
  </r>
  <r>
    <x v="773"/>
    <d v="2024-08-18T00:00:00"/>
    <s v="Minggu"/>
    <x v="5"/>
    <s v="Q1"/>
    <n v="2024"/>
    <s v="Siang (12-16)"/>
    <s v="Saos Sambal"/>
    <x v="4"/>
    <n v="10000"/>
    <n v="2"/>
    <n v="0"/>
    <n v="20000"/>
    <n v="12824"/>
    <n v="7176"/>
    <n v="35.880000000000003"/>
    <x v="2"/>
    <s v="Rina"/>
    <x v="1"/>
    <x v="0"/>
    <n v="2"/>
  </r>
  <r>
    <x v="774"/>
    <d v="2024-04-07T00:00:00"/>
    <s v="Selasa"/>
    <x v="10"/>
    <s v="Q4"/>
    <n v="2023"/>
    <s v="Malam (20-22)"/>
    <s v="Sania Minyak Goreng"/>
    <x v="4"/>
    <n v="28000"/>
    <n v="3"/>
    <n v="10"/>
    <n v="75600"/>
    <n v="48971"/>
    <n v="26629"/>
    <n v="35.22"/>
    <x v="4"/>
    <s v="Dewi"/>
    <x v="3"/>
    <x v="1"/>
    <n v="2"/>
  </r>
  <r>
    <x v="775"/>
    <d v="2024-01-18T00:00:00"/>
    <s v="Minggu"/>
    <x v="2"/>
    <s v="Q1"/>
    <n v="2023"/>
    <s v="Malam (20-22)"/>
    <s v="Indomie Goreng"/>
    <x v="1"/>
    <n v="3500"/>
    <n v="2"/>
    <n v="20"/>
    <n v="5600"/>
    <n v="3460"/>
    <n v="2140"/>
    <n v="38.21"/>
    <x v="1"/>
    <s v="Dewi"/>
    <x v="2"/>
    <x v="1"/>
    <n v="4"/>
  </r>
  <r>
    <x v="776"/>
    <d v="2024-07-26T00:00:00"/>
    <s v="Senin"/>
    <x v="9"/>
    <s v="Q3"/>
    <n v="2024"/>
    <s v="Malam (20-22)"/>
    <s v="Aqua 1.5L"/>
    <x v="0"/>
    <n v="5000"/>
    <n v="5"/>
    <n v="15"/>
    <n v="21250"/>
    <n v="14870"/>
    <n v="6380"/>
    <n v="30.02"/>
    <x v="2"/>
    <s v="Siti"/>
    <x v="2"/>
    <x v="0"/>
    <n v="4"/>
  </r>
  <r>
    <x v="777"/>
    <d v="2023-11-15T00:00:00"/>
    <s v="Rabu"/>
    <x v="6"/>
    <s v="Q3"/>
    <n v="2023"/>
    <s v="Malam (20-22)"/>
    <s v="Cheetos"/>
    <x v="1"/>
    <n v="11000"/>
    <n v="7"/>
    <n v="5"/>
    <n v="73150"/>
    <n v="45016"/>
    <n v="28134"/>
    <n v="38.46"/>
    <x v="1"/>
    <s v="Dewi"/>
    <x v="0"/>
    <x v="0"/>
    <n v="2"/>
  </r>
  <r>
    <x v="778"/>
    <d v="2023-04-07T00:00:00"/>
    <s v="Minggu"/>
    <x v="7"/>
    <s v="Q2"/>
    <n v="2023"/>
    <s v="Pagi (08-12)"/>
    <s v="Softex"/>
    <x v="2"/>
    <n v="18000"/>
    <n v="5"/>
    <n v="15"/>
    <n v="76500"/>
    <n v="53991"/>
    <n v="22509"/>
    <n v="29.42"/>
    <x v="1"/>
    <s v="Agus"/>
    <x v="1"/>
    <x v="1"/>
    <n v="1"/>
  </r>
  <r>
    <x v="779"/>
    <d v="2023-05-09T00:00:00"/>
    <s v="Selasa"/>
    <x v="1"/>
    <s v="Q2"/>
    <n v="2023"/>
    <s v="Malam (20-22)"/>
    <s v="Lip Balm Nivea"/>
    <x v="3"/>
    <n v="18000"/>
    <n v="7"/>
    <n v="5"/>
    <n v="119700"/>
    <n v="69189"/>
    <n v="50511"/>
    <n v="42.2"/>
    <x v="1"/>
    <s v="Dewi"/>
    <x v="0"/>
    <x v="0"/>
    <n v="1"/>
  </r>
  <r>
    <x v="780"/>
    <d v="2023-05-03T00:00:00"/>
    <s v="Rabu"/>
    <x v="0"/>
    <s v="Q4"/>
    <n v="2024"/>
    <s v="Pagi (08-12)"/>
    <s v="Sania Minyak Goreng"/>
    <x v="4"/>
    <n v="28000"/>
    <n v="6"/>
    <n v="15"/>
    <n v="142800"/>
    <n v="88234"/>
    <n v="54566"/>
    <n v="38.21"/>
    <x v="1"/>
    <s v="Agus"/>
    <x v="0"/>
    <x v="1"/>
    <n v="1"/>
  </r>
  <r>
    <x v="781"/>
    <d v="2024-11-24T00:00:00"/>
    <s v="Jumat"/>
    <x v="8"/>
    <s v="Q4"/>
    <n v="2024"/>
    <s v="Malam (20-22)"/>
    <s v="Qtela"/>
    <x v="1"/>
    <n v="14000"/>
    <n v="8"/>
    <n v="5"/>
    <n v="106400"/>
    <n v="66865"/>
    <n v="39535"/>
    <n v="37.159999999999997"/>
    <x v="0"/>
    <s v="Dewi"/>
    <x v="3"/>
    <x v="0"/>
    <n v="4"/>
  </r>
  <r>
    <x v="782"/>
    <d v="2023-07-19T00:00:00"/>
    <s v="Jumat"/>
    <x v="0"/>
    <s v="Q4"/>
    <n v="2023"/>
    <s v="Malam (20-22)"/>
    <s v="Oreo"/>
    <x v="1"/>
    <n v="10000"/>
    <n v="1"/>
    <n v="10"/>
    <n v="9000"/>
    <n v="5104"/>
    <n v="3896"/>
    <n v="43.29"/>
    <x v="4"/>
    <s v="Rina"/>
    <x v="4"/>
    <x v="0"/>
    <n v="1"/>
  </r>
  <r>
    <x v="783"/>
    <d v="2024-09-12T00:00:00"/>
    <s v="Senin"/>
    <x v="10"/>
    <s v="Q4"/>
    <n v="2024"/>
    <s v="Siang (12-16)"/>
    <s v="Pocari Sweat"/>
    <x v="0"/>
    <n v="8000"/>
    <n v="3"/>
    <n v="5"/>
    <n v="22800"/>
    <n v="13928"/>
    <n v="8872"/>
    <n v="38.909999999999997"/>
    <x v="1"/>
    <s v="Rina"/>
    <x v="4"/>
    <x v="1"/>
    <n v="1"/>
  </r>
  <r>
    <x v="784"/>
    <d v="2023-06-15T00:00:00"/>
    <s v="Sabtu"/>
    <x v="0"/>
    <s v="Q4"/>
    <n v="2024"/>
    <s v="Pagi (08-12)"/>
    <s v="Pelembab Vaseline"/>
    <x v="3"/>
    <n v="25000"/>
    <n v="7"/>
    <n v="15"/>
    <n v="148750"/>
    <n v="89609"/>
    <n v="59141"/>
    <n v="39.76"/>
    <x v="0"/>
    <s v="Dewi"/>
    <x v="0"/>
    <x v="1"/>
    <n v="2"/>
  </r>
  <r>
    <x v="785"/>
    <d v="2023-02-25T00:00:00"/>
    <s v="Rabu"/>
    <x v="6"/>
    <s v="Q3"/>
    <n v="2023"/>
    <s v="Siang (12-16)"/>
    <s v="Shampo Sunsilk"/>
    <x v="2"/>
    <n v="15000"/>
    <n v="4"/>
    <n v="0"/>
    <n v="60000"/>
    <n v="33164"/>
    <n v="26836"/>
    <n v="44.73"/>
    <x v="0"/>
    <s v="Rina"/>
    <x v="2"/>
    <x v="0"/>
    <n v="2"/>
  </r>
  <r>
    <x v="786"/>
    <d v="2024-10-28T00:00:00"/>
    <s v="Minggu"/>
    <x v="1"/>
    <s v="Q2"/>
    <n v="2023"/>
    <s v="Siang (12-16)"/>
    <s v="Oreo"/>
    <x v="1"/>
    <n v="10000"/>
    <n v="1"/>
    <n v="5"/>
    <n v="9500"/>
    <n v="6053"/>
    <n v="3447"/>
    <n v="36.28"/>
    <x v="4"/>
    <s v="Siti"/>
    <x v="4"/>
    <x v="0"/>
    <n v="5"/>
  </r>
  <r>
    <x v="787"/>
    <d v="2023-01-21T00:00:00"/>
    <s v="Jumat"/>
    <x v="5"/>
    <s v="Q1"/>
    <n v="2024"/>
    <s v="Malam (20-22)"/>
    <s v="Kecap ABC"/>
    <x v="4"/>
    <n v="14000"/>
    <n v="4"/>
    <n v="0"/>
    <n v="56000"/>
    <n v="31808"/>
    <n v="24192"/>
    <n v="43.2"/>
    <x v="4"/>
    <s v="Budi"/>
    <x v="0"/>
    <x v="1"/>
    <n v="1"/>
  </r>
  <r>
    <x v="788"/>
    <d v="2023-11-06T00:00:00"/>
    <s v="Sabtu"/>
    <x v="5"/>
    <s v="Q1"/>
    <n v="2024"/>
    <s v="Pagi (08-12)"/>
    <s v="Indomie Goreng"/>
    <x v="1"/>
    <n v="3500"/>
    <n v="4"/>
    <n v="0"/>
    <n v="14000"/>
    <n v="9266"/>
    <n v="4734"/>
    <n v="33.81"/>
    <x v="4"/>
    <s v="Dewi"/>
    <x v="2"/>
    <x v="0"/>
    <n v="2"/>
  </r>
  <r>
    <x v="789"/>
    <d v="2024-07-03T00:00:00"/>
    <s v="Minggu"/>
    <x v="5"/>
    <s v="Q1"/>
    <n v="2024"/>
    <s v="Pagi (08-12)"/>
    <s v="Softex"/>
    <x v="2"/>
    <n v="18000"/>
    <n v="8"/>
    <n v="0"/>
    <n v="144000"/>
    <n v="96643"/>
    <n v="47357"/>
    <n v="32.89"/>
    <x v="3"/>
    <s v="Budi"/>
    <x v="2"/>
    <x v="1"/>
    <n v="4"/>
  </r>
  <r>
    <x v="790"/>
    <d v="2024-03-03T00:00:00"/>
    <s v="Senin"/>
    <x v="10"/>
    <s v="Q4"/>
    <n v="2024"/>
    <s v="Sore (16-20)"/>
    <s v="Qtela"/>
    <x v="1"/>
    <n v="14000"/>
    <n v="3"/>
    <n v="15"/>
    <n v="35700"/>
    <n v="24258"/>
    <n v="11442"/>
    <n v="32.049999999999997"/>
    <x v="4"/>
    <s v="Agus"/>
    <x v="0"/>
    <x v="0"/>
    <n v="5"/>
  </r>
  <r>
    <x v="791"/>
    <d v="2023-02-14T00:00:00"/>
    <s v="Kamis"/>
    <x v="9"/>
    <s v="Q3"/>
    <n v="2024"/>
    <s v="Siang (12-16)"/>
    <s v="Sania Minyak Goreng"/>
    <x v="4"/>
    <n v="28000"/>
    <n v="9"/>
    <n v="15"/>
    <n v="214200"/>
    <n v="144822"/>
    <n v="69378"/>
    <n v="32.39"/>
    <x v="3"/>
    <s v="Dewi"/>
    <x v="0"/>
    <x v="0"/>
    <n v="5"/>
  </r>
  <r>
    <x v="792"/>
    <d v="2023-02-15T00:00:00"/>
    <s v="Senin"/>
    <x v="11"/>
    <s v="Q2"/>
    <n v="2023"/>
    <s v="Sore (16-20)"/>
    <s v="Shampo Sunsilk"/>
    <x v="2"/>
    <n v="15000"/>
    <n v="7"/>
    <n v="20"/>
    <n v="84000"/>
    <n v="49678"/>
    <n v="34322"/>
    <n v="40.86"/>
    <x v="0"/>
    <s v="Rina"/>
    <x v="3"/>
    <x v="1"/>
    <n v="3"/>
  </r>
  <r>
    <x v="793"/>
    <d v="2023-02-07T00:00:00"/>
    <s v="Rabu"/>
    <x v="4"/>
    <s v="Q3"/>
    <n v="2023"/>
    <s v="Siang (12-16)"/>
    <s v="Indomie Goreng"/>
    <x v="1"/>
    <n v="3500"/>
    <n v="4"/>
    <n v="15"/>
    <n v="11900"/>
    <n v="6622"/>
    <n v="5278"/>
    <n v="44.35"/>
    <x v="3"/>
    <s v="Agus"/>
    <x v="2"/>
    <x v="1"/>
    <n v="3"/>
  </r>
  <r>
    <x v="794"/>
    <d v="2023-02-07T00:00:00"/>
    <s v="Senin"/>
    <x v="0"/>
    <s v="Q4"/>
    <n v="2024"/>
    <s v="Sore (16-20)"/>
    <s v="Susu Ultra"/>
    <x v="0"/>
    <n v="9000"/>
    <n v="7"/>
    <n v="15"/>
    <n v="53550"/>
    <n v="36851"/>
    <n v="16699"/>
    <n v="31.18"/>
    <x v="0"/>
    <s v="Budi"/>
    <x v="2"/>
    <x v="0"/>
    <n v="2"/>
  </r>
  <r>
    <x v="795"/>
    <d v="2024-03-26T00:00:00"/>
    <s v="Sabtu"/>
    <x v="4"/>
    <s v="Q3"/>
    <n v="2024"/>
    <s v="Malam (20-22)"/>
    <s v="Teh Botol"/>
    <x v="0"/>
    <n v="6000"/>
    <n v="4"/>
    <n v="10"/>
    <n v="21600"/>
    <n v="15085"/>
    <n v="6515"/>
    <n v="30.16"/>
    <x v="3"/>
    <s v="Siti"/>
    <x v="3"/>
    <x v="0"/>
    <n v="1"/>
  </r>
  <r>
    <x v="796"/>
    <d v="2024-03-16T00:00:00"/>
    <s v="Sabtu"/>
    <x v="11"/>
    <s v="Q2"/>
    <n v="2024"/>
    <s v="Siang (12-16)"/>
    <s v="Teh Botol"/>
    <x v="0"/>
    <n v="6000"/>
    <n v="1"/>
    <n v="15"/>
    <n v="5100"/>
    <n v="3665"/>
    <n v="1435"/>
    <n v="28.14"/>
    <x v="1"/>
    <s v="Budi"/>
    <x v="0"/>
    <x v="0"/>
    <n v="2"/>
  </r>
  <r>
    <x v="797"/>
    <d v="2024-03-12T00:00:00"/>
    <s v="Senin"/>
    <x v="7"/>
    <s v="Q2"/>
    <n v="2024"/>
    <s v="Siang (12-16)"/>
    <s v="Kopi Kapal Api"/>
    <x v="0"/>
    <n v="12000"/>
    <n v="8"/>
    <n v="0"/>
    <n v="96000"/>
    <n v="55479"/>
    <n v="40521"/>
    <n v="42.21"/>
    <x v="1"/>
    <s v="Budi"/>
    <x v="1"/>
    <x v="0"/>
    <n v="3"/>
  </r>
  <r>
    <x v="798"/>
    <d v="2024-11-19T00:00:00"/>
    <s v="Jumat"/>
    <x v="0"/>
    <s v="Q4"/>
    <n v="2023"/>
    <s v="Malam (20-22)"/>
    <s v="Hand Sanitizer"/>
    <x v="3"/>
    <n v="12000"/>
    <n v="4"/>
    <n v="0"/>
    <n v="48000"/>
    <n v="33437"/>
    <n v="14563"/>
    <n v="30.34"/>
    <x v="2"/>
    <s v="Rina"/>
    <x v="2"/>
    <x v="1"/>
    <n v="2"/>
  </r>
  <r>
    <x v="799"/>
    <d v="2023-03-11T00:00:00"/>
    <s v="Sabtu"/>
    <x v="1"/>
    <s v="Q2"/>
    <n v="2024"/>
    <s v="Malam (20-22)"/>
    <s v="Sania Minyak Goreng"/>
    <x v="4"/>
    <n v="28000"/>
    <n v="9"/>
    <n v="10"/>
    <n v="226800"/>
    <n v="153076"/>
    <n v="73724"/>
    <n v="32.51"/>
    <x v="1"/>
    <s v="Agus"/>
    <x v="0"/>
    <x v="1"/>
    <n v="1"/>
  </r>
  <r>
    <x v="800"/>
    <d v="2024-03-31T00:00:00"/>
    <s v="Sabtu"/>
    <x v="10"/>
    <s v="Q4"/>
    <n v="2023"/>
    <s v="Sore (16-20)"/>
    <s v="Kapas Kecantikan"/>
    <x v="3"/>
    <n v="8000"/>
    <n v="3"/>
    <n v="10"/>
    <n v="21600"/>
    <n v="14548"/>
    <n v="7052"/>
    <n v="32.65"/>
    <x v="4"/>
    <s v="Agus"/>
    <x v="1"/>
    <x v="1"/>
    <n v="3"/>
  </r>
  <r>
    <x v="801"/>
    <d v="2024-05-27T00:00:00"/>
    <s v="Sabtu"/>
    <x v="2"/>
    <s v="Q1"/>
    <n v="2024"/>
    <s v="Siang (12-16)"/>
    <s v="Kapas Kecantikan"/>
    <x v="3"/>
    <n v="8000"/>
    <n v="8"/>
    <n v="0"/>
    <n v="64000"/>
    <n v="38826"/>
    <n v="25174"/>
    <n v="39.33"/>
    <x v="2"/>
    <s v="Budi"/>
    <x v="3"/>
    <x v="0"/>
    <n v="1"/>
  </r>
  <r>
    <x v="802"/>
    <d v="2023-05-07T00:00:00"/>
    <s v="Senin"/>
    <x v="11"/>
    <s v="Q2"/>
    <n v="2024"/>
    <s v="Sore (16-20)"/>
    <s v="Deterjen Rinso"/>
    <x v="2"/>
    <n v="22000"/>
    <n v="7"/>
    <n v="5"/>
    <n v="146300"/>
    <n v="103851"/>
    <n v="42449"/>
    <n v="29.02"/>
    <x v="4"/>
    <s v="Agus"/>
    <x v="1"/>
    <x v="0"/>
    <n v="4"/>
  </r>
  <r>
    <x v="803"/>
    <d v="2024-07-10T00:00:00"/>
    <s v="Kamis"/>
    <x v="5"/>
    <s v="Q1"/>
    <n v="2023"/>
    <s v="Malam (20-22)"/>
    <s v="Kopi Kapal Api"/>
    <x v="0"/>
    <n v="12000"/>
    <n v="10"/>
    <n v="0"/>
    <n v="120000"/>
    <n v="69962"/>
    <n v="50038"/>
    <n v="41.7"/>
    <x v="2"/>
    <s v="Siti"/>
    <x v="2"/>
    <x v="1"/>
    <n v="1"/>
  </r>
  <r>
    <x v="804"/>
    <d v="2023-05-24T00:00:00"/>
    <s v="Senin"/>
    <x v="0"/>
    <s v="Q4"/>
    <n v="2024"/>
    <s v="Sore (16-20)"/>
    <s v="Sania Minyak Goreng"/>
    <x v="4"/>
    <n v="28000"/>
    <n v="4"/>
    <n v="0"/>
    <n v="112000"/>
    <n v="70696"/>
    <n v="41304"/>
    <n v="36.880000000000003"/>
    <x v="4"/>
    <s v="Rina"/>
    <x v="3"/>
    <x v="1"/>
    <n v="2"/>
  </r>
  <r>
    <x v="805"/>
    <d v="2023-11-14T00:00:00"/>
    <s v="Senin"/>
    <x v="6"/>
    <s v="Q3"/>
    <n v="2023"/>
    <s v="Malam (20-22)"/>
    <s v="Cheetos"/>
    <x v="1"/>
    <n v="11000"/>
    <n v="10"/>
    <n v="15"/>
    <n v="93500"/>
    <n v="64801"/>
    <n v="28699"/>
    <n v="30.69"/>
    <x v="0"/>
    <s v="Rina"/>
    <x v="0"/>
    <x v="1"/>
    <n v="5"/>
  </r>
  <r>
    <x v="806"/>
    <d v="2024-04-23T00:00:00"/>
    <s v="Jumat"/>
    <x v="3"/>
    <s v="Q1"/>
    <n v="2023"/>
    <s v="Malam (20-22)"/>
    <s v="Deodorant Rexona"/>
    <x v="3"/>
    <n v="20000"/>
    <n v="7"/>
    <n v="0"/>
    <n v="140000"/>
    <n v="96748"/>
    <n v="43252"/>
    <n v="30.89"/>
    <x v="4"/>
    <s v="Siti"/>
    <x v="4"/>
    <x v="1"/>
    <n v="4"/>
  </r>
  <r>
    <x v="807"/>
    <d v="2024-06-15T00:00:00"/>
    <s v="Minggu"/>
    <x v="1"/>
    <s v="Q2"/>
    <n v="2023"/>
    <s v="Pagi (08-12)"/>
    <s v="Susu Ultra"/>
    <x v="0"/>
    <n v="9000"/>
    <n v="6"/>
    <n v="20"/>
    <n v="43200"/>
    <n v="24808"/>
    <n v="18392"/>
    <n v="42.57"/>
    <x v="1"/>
    <s v="Agus"/>
    <x v="2"/>
    <x v="0"/>
    <n v="4"/>
  </r>
  <r>
    <x v="808"/>
    <d v="2023-07-22T00:00:00"/>
    <s v="Senin"/>
    <x v="2"/>
    <s v="Q1"/>
    <n v="2023"/>
    <s v="Siang (12-16)"/>
    <s v="Aqua 1.5L"/>
    <x v="0"/>
    <n v="5000"/>
    <n v="7"/>
    <n v="10"/>
    <n v="31500"/>
    <n v="19557"/>
    <n v="11943"/>
    <n v="37.909999999999997"/>
    <x v="4"/>
    <s v="Agus"/>
    <x v="3"/>
    <x v="1"/>
    <n v="2"/>
  </r>
  <r>
    <x v="809"/>
    <d v="2024-11-06T00:00:00"/>
    <s v="Sabtu"/>
    <x v="8"/>
    <s v="Q4"/>
    <n v="2024"/>
    <s v="Siang (12-16)"/>
    <s v="Oreo"/>
    <x v="1"/>
    <n v="10000"/>
    <n v="8"/>
    <n v="0"/>
    <n v="80000"/>
    <n v="50836"/>
    <n v="29164"/>
    <n v="36.450000000000003"/>
    <x v="0"/>
    <s v="Agus"/>
    <x v="4"/>
    <x v="0"/>
    <n v="2"/>
  </r>
  <r>
    <x v="810"/>
    <d v="2024-08-09T00:00:00"/>
    <s v="Kamis"/>
    <x v="3"/>
    <s v="Q1"/>
    <n v="2023"/>
    <s v="Pagi (08-12)"/>
    <s v="Oreo"/>
    <x v="1"/>
    <n v="10000"/>
    <n v="5"/>
    <n v="20"/>
    <n v="40000"/>
    <n v="24780"/>
    <n v="15220"/>
    <n v="38.049999999999997"/>
    <x v="3"/>
    <s v="Rina"/>
    <x v="3"/>
    <x v="1"/>
    <n v="1"/>
  </r>
  <r>
    <x v="811"/>
    <d v="2023-11-04T00:00:00"/>
    <s v="Senin"/>
    <x v="2"/>
    <s v="Q1"/>
    <n v="2024"/>
    <s v="Pagi (08-12)"/>
    <s v="Pocari Sweat"/>
    <x v="0"/>
    <n v="8000"/>
    <n v="2"/>
    <n v="0"/>
    <n v="16000"/>
    <n v="8881"/>
    <n v="7119"/>
    <n v="44.49"/>
    <x v="1"/>
    <s v="Agus"/>
    <x v="1"/>
    <x v="0"/>
    <n v="1"/>
  </r>
  <r>
    <x v="812"/>
    <d v="2023-11-06T00:00:00"/>
    <s v="Sabtu"/>
    <x v="6"/>
    <s v="Q3"/>
    <n v="2023"/>
    <s v="Sore (16-20)"/>
    <s v="Susu Ultra"/>
    <x v="0"/>
    <n v="9000"/>
    <n v="1"/>
    <n v="0"/>
    <n v="9000"/>
    <n v="5273"/>
    <n v="3727"/>
    <n v="41.41"/>
    <x v="0"/>
    <s v="Agus"/>
    <x v="4"/>
    <x v="1"/>
    <n v="4"/>
  </r>
  <r>
    <x v="813"/>
    <d v="2023-10-02T00:00:00"/>
    <s v="Selasa"/>
    <x v="8"/>
    <s v="Q4"/>
    <n v="2023"/>
    <s v="Sore (16-20)"/>
    <s v="Hand Sanitizer"/>
    <x v="3"/>
    <n v="12000"/>
    <n v="6"/>
    <n v="0"/>
    <n v="72000"/>
    <n v="47946"/>
    <n v="24054"/>
    <n v="33.409999999999997"/>
    <x v="4"/>
    <s v="Siti"/>
    <x v="3"/>
    <x v="1"/>
    <n v="4"/>
  </r>
  <r>
    <x v="814"/>
    <d v="2024-08-15T00:00:00"/>
    <s v="Selasa"/>
    <x v="6"/>
    <s v="Q3"/>
    <n v="2024"/>
    <s v="Pagi (08-12)"/>
    <s v="Pocari Sweat"/>
    <x v="0"/>
    <n v="8000"/>
    <n v="6"/>
    <n v="20"/>
    <n v="38400"/>
    <n v="21774"/>
    <n v="16626"/>
    <n v="43.3"/>
    <x v="2"/>
    <s v="Agus"/>
    <x v="3"/>
    <x v="0"/>
    <n v="5"/>
  </r>
  <r>
    <x v="815"/>
    <d v="2024-02-08T00:00:00"/>
    <s v="Sabtu"/>
    <x v="0"/>
    <s v="Q4"/>
    <n v="2023"/>
    <s v="Siang (12-16)"/>
    <s v="Qtela"/>
    <x v="1"/>
    <n v="14000"/>
    <n v="8"/>
    <n v="10"/>
    <n v="100800"/>
    <n v="67198"/>
    <n v="33602"/>
    <n v="33.340000000000003"/>
    <x v="2"/>
    <s v="Dewi"/>
    <x v="1"/>
    <x v="0"/>
    <n v="3"/>
  </r>
  <r>
    <x v="816"/>
    <d v="2024-07-04T00:00:00"/>
    <s v="Rabu"/>
    <x v="2"/>
    <s v="Q1"/>
    <n v="2023"/>
    <s v="Pagi (08-12)"/>
    <s v="Sabun Lifebuoy"/>
    <x v="2"/>
    <n v="8000"/>
    <n v="6"/>
    <n v="15"/>
    <n v="40800"/>
    <n v="25522"/>
    <n v="15278"/>
    <n v="37.450000000000003"/>
    <x v="3"/>
    <s v="Agus"/>
    <x v="1"/>
    <x v="1"/>
    <n v="4"/>
  </r>
  <r>
    <x v="817"/>
    <d v="2024-08-07T00:00:00"/>
    <s v="Kamis"/>
    <x v="11"/>
    <s v="Q2"/>
    <n v="2024"/>
    <s v="Pagi (08-12)"/>
    <s v="Kopi Kapal Api"/>
    <x v="0"/>
    <n v="12000"/>
    <n v="5"/>
    <n v="10"/>
    <n v="54000"/>
    <n v="31491"/>
    <n v="22509"/>
    <n v="41.68"/>
    <x v="1"/>
    <s v="Dewi"/>
    <x v="4"/>
    <x v="0"/>
    <n v="4"/>
  </r>
  <r>
    <x v="818"/>
    <d v="2023-04-11T00:00:00"/>
    <s v="Jumat"/>
    <x v="3"/>
    <s v="Q1"/>
    <n v="2023"/>
    <s v="Siang (12-16)"/>
    <s v="Softex"/>
    <x v="2"/>
    <n v="18000"/>
    <n v="8"/>
    <n v="0"/>
    <n v="144000"/>
    <n v="101144"/>
    <n v="42856"/>
    <n v="29.76"/>
    <x v="0"/>
    <s v="Agus"/>
    <x v="4"/>
    <x v="0"/>
    <n v="2"/>
  </r>
  <r>
    <x v="819"/>
    <d v="2023-02-10T00:00:00"/>
    <s v="Sabtu"/>
    <x v="7"/>
    <s v="Q2"/>
    <n v="2023"/>
    <s v="Siang (12-16)"/>
    <s v="Aqua 1.5L"/>
    <x v="0"/>
    <n v="5000"/>
    <n v="7"/>
    <n v="15"/>
    <n v="29750"/>
    <n v="16510"/>
    <n v="13240"/>
    <n v="44.5"/>
    <x v="4"/>
    <s v="Agus"/>
    <x v="2"/>
    <x v="1"/>
    <n v="4"/>
  </r>
  <r>
    <x v="820"/>
    <d v="2024-02-08T00:00:00"/>
    <s v="Minggu"/>
    <x v="10"/>
    <s v="Q4"/>
    <n v="2024"/>
    <s v="Pagi (08-12)"/>
    <s v="Teh Botol"/>
    <x v="0"/>
    <n v="6000"/>
    <n v="9"/>
    <n v="15"/>
    <n v="45900"/>
    <n v="30905"/>
    <n v="14995"/>
    <n v="32.67"/>
    <x v="0"/>
    <s v="Siti"/>
    <x v="3"/>
    <x v="1"/>
    <n v="4"/>
  </r>
  <r>
    <x v="821"/>
    <d v="2024-01-14T00:00:00"/>
    <s v="Jumat"/>
    <x v="2"/>
    <s v="Q1"/>
    <n v="2024"/>
    <s v="Pagi (08-12)"/>
    <s v="Hand Sanitizer"/>
    <x v="3"/>
    <n v="12000"/>
    <n v="4"/>
    <n v="0"/>
    <n v="48000"/>
    <n v="28514"/>
    <n v="19486"/>
    <n v="40.6"/>
    <x v="4"/>
    <s v="Rina"/>
    <x v="0"/>
    <x v="1"/>
    <n v="5"/>
  </r>
  <r>
    <x v="822"/>
    <d v="2024-08-21T00:00:00"/>
    <s v="Rabu"/>
    <x v="4"/>
    <s v="Q3"/>
    <n v="2023"/>
    <s v="Sore (16-20)"/>
    <s v="Susu Ultra"/>
    <x v="0"/>
    <n v="9000"/>
    <n v="6"/>
    <n v="0"/>
    <n v="54000"/>
    <n v="37534"/>
    <n v="16466"/>
    <n v="30.49"/>
    <x v="2"/>
    <s v="Dewi"/>
    <x v="0"/>
    <x v="0"/>
    <n v="5"/>
  </r>
  <r>
    <x v="823"/>
    <d v="2023-01-21T00:00:00"/>
    <s v="Selasa"/>
    <x v="4"/>
    <s v="Q3"/>
    <n v="2024"/>
    <s v="Siang (12-16)"/>
    <s v="Indomie Goreng"/>
    <x v="1"/>
    <n v="3500"/>
    <n v="7"/>
    <n v="0"/>
    <n v="24500"/>
    <n v="16687"/>
    <n v="7813"/>
    <n v="31.89"/>
    <x v="1"/>
    <s v="Dewi"/>
    <x v="4"/>
    <x v="0"/>
    <n v="4"/>
  </r>
  <r>
    <x v="824"/>
    <d v="2024-06-16T00:00:00"/>
    <s v="Selasa"/>
    <x v="2"/>
    <s v="Q1"/>
    <n v="2023"/>
    <s v="Malam (20-22)"/>
    <s v="Hand Sanitizer"/>
    <x v="3"/>
    <n v="12000"/>
    <n v="6"/>
    <n v="0"/>
    <n v="72000"/>
    <n v="49590"/>
    <n v="22410"/>
    <n v="31.13"/>
    <x v="4"/>
    <s v="Budi"/>
    <x v="1"/>
    <x v="0"/>
    <n v="5"/>
  </r>
  <r>
    <x v="825"/>
    <d v="2023-12-30T00:00:00"/>
    <s v="Rabu"/>
    <x v="0"/>
    <s v="Q4"/>
    <n v="2023"/>
    <s v="Malam (20-22)"/>
    <s v="Chitato"/>
    <x v="1"/>
    <n v="12000"/>
    <n v="10"/>
    <n v="0"/>
    <n v="120000"/>
    <n v="72301"/>
    <n v="47699"/>
    <n v="39.75"/>
    <x v="0"/>
    <s v="Siti"/>
    <x v="4"/>
    <x v="0"/>
    <n v="4"/>
  </r>
  <r>
    <x v="826"/>
    <d v="2024-12-23T00:00:00"/>
    <s v="Kamis"/>
    <x v="0"/>
    <s v="Q4"/>
    <n v="2023"/>
    <s v="Siang (12-16)"/>
    <s v="Kecap ABC"/>
    <x v="4"/>
    <n v="14000"/>
    <n v="6"/>
    <n v="0"/>
    <n v="84000"/>
    <n v="58022"/>
    <n v="25978"/>
    <n v="30.93"/>
    <x v="1"/>
    <s v="Budi"/>
    <x v="0"/>
    <x v="1"/>
    <n v="4"/>
  </r>
  <r>
    <x v="827"/>
    <d v="2023-05-31T00:00:00"/>
    <s v="Jumat"/>
    <x v="10"/>
    <s v="Q4"/>
    <n v="2023"/>
    <s v="Malam (20-22)"/>
    <s v="Chitato"/>
    <x v="1"/>
    <n v="12000"/>
    <n v="9"/>
    <n v="5"/>
    <n v="102600"/>
    <n v="62315"/>
    <n v="40285"/>
    <n v="39.26"/>
    <x v="2"/>
    <s v="Siti"/>
    <x v="1"/>
    <x v="0"/>
    <n v="5"/>
  </r>
  <r>
    <x v="828"/>
    <d v="2023-10-06T00:00:00"/>
    <s v="Selasa"/>
    <x v="0"/>
    <s v="Q4"/>
    <n v="2023"/>
    <s v="Sore (16-20)"/>
    <s v="Shampo Sunsilk"/>
    <x v="2"/>
    <n v="15000"/>
    <n v="9"/>
    <n v="5"/>
    <n v="128250"/>
    <n v="72659"/>
    <n v="55591"/>
    <n v="43.35"/>
    <x v="4"/>
    <s v="Dewi"/>
    <x v="0"/>
    <x v="1"/>
    <n v="2"/>
  </r>
  <r>
    <x v="829"/>
    <d v="2023-02-24T00:00:00"/>
    <s v="Rabu"/>
    <x v="9"/>
    <s v="Q3"/>
    <n v="2024"/>
    <s v="Pagi (08-12)"/>
    <s v="Indomie Goreng"/>
    <x v="1"/>
    <n v="3500"/>
    <n v="8"/>
    <n v="0"/>
    <n v="28000"/>
    <n v="19671"/>
    <n v="8329"/>
    <n v="29.75"/>
    <x v="1"/>
    <s v="Budi"/>
    <x v="3"/>
    <x v="1"/>
    <n v="5"/>
  </r>
  <r>
    <x v="830"/>
    <d v="2024-05-04T00:00:00"/>
    <s v="Sabtu"/>
    <x v="1"/>
    <s v="Q2"/>
    <n v="2023"/>
    <s v="Malam (20-22)"/>
    <s v="Indomie Goreng"/>
    <x v="1"/>
    <n v="3500"/>
    <n v="7"/>
    <n v="15"/>
    <n v="20825"/>
    <n v="14433"/>
    <n v="6392"/>
    <n v="30.69"/>
    <x v="0"/>
    <s v="Rina"/>
    <x v="2"/>
    <x v="0"/>
    <n v="1"/>
  </r>
  <r>
    <x v="831"/>
    <d v="2023-06-30T00:00:00"/>
    <s v="Senin"/>
    <x v="11"/>
    <s v="Q2"/>
    <n v="2023"/>
    <s v="Pagi (08-12)"/>
    <s v="Lip Balm Nivea"/>
    <x v="3"/>
    <n v="18000"/>
    <n v="10"/>
    <n v="5"/>
    <n v="171000"/>
    <n v="122240"/>
    <n v="48760"/>
    <n v="28.51"/>
    <x v="2"/>
    <s v="Budi"/>
    <x v="0"/>
    <x v="0"/>
    <n v="4"/>
  </r>
  <r>
    <x v="832"/>
    <d v="2023-10-20T00:00:00"/>
    <s v="Rabu"/>
    <x v="11"/>
    <s v="Q2"/>
    <n v="2024"/>
    <s v="Sore (16-20)"/>
    <s v="Softex"/>
    <x v="2"/>
    <n v="18000"/>
    <n v="3"/>
    <n v="15"/>
    <n v="45900"/>
    <n v="31060"/>
    <n v="14840"/>
    <n v="32.33"/>
    <x v="0"/>
    <s v="Agus"/>
    <x v="1"/>
    <x v="1"/>
    <n v="3"/>
  </r>
  <r>
    <x v="833"/>
    <d v="2023-12-06T00:00:00"/>
    <s v="Kamis"/>
    <x v="2"/>
    <s v="Q1"/>
    <n v="2023"/>
    <s v="Malam (20-22)"/>
    <s v="Aqua 1.5L"/>
    <x v="0"/>
    <n v="5000"/>
    <n v="2"/>
    <n v="0"/>
    <n v="10000"/>
    <n v="6332"/>
    <n v="3668"/>
    <n v="36.68"/>
    <x v="3"/>
    <s v="Budi"/>
    <x v="0"/>
    <x v="1"/>
    <n v="1"/>
  </r>
  <r>
    <x v="834"/>
    <d v="2024-10-17T00:00:00"/>
    <s v="Jumat"/>
    <x v="9"/>
    <s v="Q3"/>
    <n v="2024"/>
    <s v="Pagi (08-12)"/>
    <s v="Indomie Goreng"/>
    <x v="1"/>
    <n v="3500"/>
    <n v="8"/>
    <n v="15"/>
    <n v="23800"/>
    <n v="15933"/>
    <n v="7867"/>
    <n v="33.049999999999997"/>
    <x v="4"/>
    <s v="Dewi"/>
    <x v="3"/>
    <x v="1"/>
    <n v="1"/>
  </r>
  <r>
    <x v="835"/>
    <d v="2023-01-08T00:00:00"/>
    <s v="Kamis"/>
    <x v="4"/>
    <s v="Q3"/>
    <n v="2024"/>
    <s v="Pagi (08-12)"/>
    <s v="Indomie Goreng"/>
    <x v="1"/>
    <n v="3500"/>
    <n v="1"/>
    <n v="5"/>
    <n v="3325"/>
    <n v="2143"/>
    <n v="1182"/>
    <n v="35.549999999999997"/>
    <x v="3"/>
    <s v="Dewi"/>
    <x v="1"/>
    <x v="0"/>
    <n v="2"/>
  </r>
  <r>
    <x v="836"/>
    <d v="2024-12-11T00:00:00"/>
    <s v="Selasa"/>
    <x v="10"/>
    <s v="Q4"/>
    <n v="2024"/>
    <s v="Pagi (08-12)"/>
    <s v="Teh Botol"/>
    <x v="0"/>
    <n v="6000"/>
    <n v="10"/>
    <n v="15"/>
    <n v="51000"/>
    <n v="29610"/>
    <n v="21390"/>
    <n v="41.94"/>
    <x v="3"/>
    <s v="Agus"/>
    <x v="2"/>
    <x v="0"/>
    <n v="2"/>
  </r>
  <r>
    <x v="837"/>
    <d v="2024-09-22T00:00:00"/>
    <s v="Minggu"/>
    <x v="9"/>
    <s v="Q3"/>
    <n v="2024"/>
    <s v="Sore (16-20)"/>
    <s v="Oreo"/>
    <x v="1"/>
    <n v="10000"/>
    <n v="2"/>
    <n v="10"/>
    <n v="18000"/>
    <n v="10686"/>
    <n v="7314"/>
    <n v="40.630000000000003"/>
    <x v="0"/>
    <s v="Rina"/>
    <x v="0"/>
    <x v="1"/>
    <n v="5"/>
  </r>
  <r>
    <x v="838"/>
    <d v="2024-11-28T00:00:00"/>
    <s v="Minggu"/>
    <x v="7"/>
    <s v="Q2"/>
    <n v="2023"/>
    <s v="Malam (20-22)"/>
    <s v="Kecap ABC"/>
    <x v="4"/>
    <n v="14000"/>
    <n v="4"/>
    <n v="0"/>
    <n v="56000"/>
    <n v="31240"/>
    <n v="24760"/>
    <n v="44.21"/>
    <x v="3"/>
    <s v="Siti"/>
    <x v="4"/>
    <x v="0"/>
    <n v="5"/>
  </r>
  <r>
    <x v="839"/>
    <d v="2024-06-11T00:00:00"/>
    <s v="Jumat"/>
    <x v="11"/>
    <s v="Q2"/>
    <n v="2024"/>
    <s v="Siang (12-16)"/>
    <s v="Softex"/>
    <x v="2"/>
    <n v="18000"/>
    <n v="6"/>
    <n v="10"/>
    <n v="97200"/>
    <n v="62353"/>
    <n v="34847"/>
    <n v="35.85"/>
    <x v="1"/>
    <s v="Rina"/>
    <x v="0"/>
    <x v="0"/>
    <n v="2"/>
  </r>
  <r>
    <x v="840"/>
    <d v="2024-06-16T00:00:00"/>
    <s v="Jumat"/>
    <x v="11"/>
    <s v="Q2"/>
    <n v="2023"/>
    <s v="Siang (12-16)"/>
    <s v="Shampo Sunsilk"/>
    <x v="2"/>
    <n v="15000"/>
    <n v="3"/>
    <n v="10"/>
    <n v="40500"/>
    <n v="26076"/>
    <n v="14424"/>
    <n v="35.61"/>
    <x v="3"/>
    <s v="Siti"/>
    <x v="2"/>
    <x v="1"/>
    <n v="1"/>
  </r>
  <r>
    <x v="841"/>
    <d v="2024-02-11T00:00:00"/>
    <s v="Rabu"/>
    <x v="4"/>
    <s v="Q3"/>
    <n v="2024"/>
    <s v="Sore (16-20)"/>
    <s v="Pasta Gigi Pepsodent"/>
    <x v="2"/>
    <n v="12000"/>
    <n v="7"/>
    <n v="15"/>
    <n v="71400"/>
    <n v="50239"/>
    <n v="21161"/>
    <n v="29.64"/>
    <x v="2"/>
    <s v="Agus"/>
    <x v="0"/>
    <x v="1"/>
    <n v="2"/>
  </r>
  <r>
    <x v="842"/>
    <d v="2023-02-03T00:00:00"/>
    <s v="Selasa"/>
    <x v="4"/>
    <s v="Q3"/>
    <n v="2024"/>
    <s v="Siang (12-16)"/>
    <s v="Chitato"/>
    <x v="1"/>
    <n v="12000"/>
    <n v="5"/>
    <n v="15"/>
    <n v="51000"/>
    <n v="34091"/>
    <n v="16909"/>
    <n v="33.15"/>
    <x v="1"/>
    <s v="Siti"/>
    <x v="4"/>
    <x v="1"/>
    <n v="2"/>
  </r>
  <r>
    <x v="843"/>
    <d v="2023-03-25T00:00:00"/>
    <s v="Senin"/>
    <x v="10"/>
    <s v="Q4"/>
    <n v="2023"/>
    <s v="Pagi (08-12)"/>
    <s v="Sania Minyak Goreng"/>
    <x v="4"/>
    <n v="28000"/>
    <n v="1"/>
    <n v="10"/>
    <n v="25200"/>
    <n v="14920"/>
    <n v="10280"/>
    <n v="40.79"/>
    <x v="4"/>
    <s v="Rina"/>
    <x v="4"/>
    <x v="1"/>
    <n v="1"/>
  </r>
  <r>
    <x v="844"/>
    <d v="2023-01-25T00:00:00"/>
    <s v="Senin"/>
    <x v="8"/>
    <s v="Q4"/>
    <n v="2023"/>
    <s v="Pagi (08-12)"/>
    <s v="Pocari Sweat"/>
    <x v="0"/>
    <n v="8000"/>
    <n v="6"/>
    <n v="20"/>
    <n v="38400"/>
    <n v="22904"/>
    <n v="15496"/>
    <n v="40.35"/>
    <x v="1"/>
    <s v="Siti"/>
    <x v="0"/>
    <x v="1"/>
    <n v="2"/>
  </r>
  <r>
    <x v="845"/>
    <d v="2023-07-14T00:00:00"/>
    <s v="Selasa"/>
    <x v="2"/>
    <s v="Q1"/>
    <n v="2024"/>
    <s v="Pagi (08-12)"/>
    <s v="Aqua 1.5L"/>
    <x v="0"/>
    <n v="5000"/>
    <n v="3"/>
    <n v="10"/>
    <n v="13500"/>
    <n v="9097"/>
    <n v="4403"/>
    <n v="32.61"/>
    <x v="4"/>
    <s v="Dewi"/>
    <x v="1"/>
    <x v="1"/>
    <n v="5"/>
  </r>
  <r>
    <x v="846"/>
    <d v="2023-02-05T00:00:00"/>
    <s v="Senin"/>
    <x v="0"/>
    <s v="Q4"/>
    <n v="2023"/>
    <s v="Siang (12-16)"/>
    <s v="Lip Balm Nivea"/>
    <x v="3"/>
    <n v="18000"/>
    <n v="10"/>
    <n v="0"/>
    <n v="180000"/>
    <n v="126435"/>
    <n v="53565"/>
    <n v="29.76"/>
    <x v="1"/>
    <s v="Siti"/>
    <x v="1"/>
    <x v="1"/>
    <n v="5"/>
  </r>
  <r>
    <x v="847"/>
    <d v="2024-05-31T00:00:00"/>
    <s v="Kamis"/>
    <x v="4"/>
    <s v="Q3"/>
    <n v="2024"/>
    <s v="Siang (12-16)"/>
    <s v="Hand Sanitizer"/>
    <x v="3"/>
    <n v="12000"/>
    <n v="8"/>
    <n v="10"/>
    <n v="86400"/>
    <n v="49394"/>
    <n v="37006"/>
    <n v="42.83"/>
    <x v="0"/>
    <s v="Dewi"/>
    <x v="3"/>
    <x v="0"/>
    <n v="4"/>
  </r>
  <r>
    <x v="848"/>
    <d v="2023-11-05T00:00:00"/>
    <s v="Minggu"/>
    <x v="9"/>
    <s v="Q3"/>
    <n v="2024"/>
    <s v="Siang (12-16)"/>
    <s v="Sabun Lifebuoy"/>
    <x v="2"/>
    <n v="8000"/>
    <n v="6"/>
    <n v="15"/>
    <n v="40800"/>
    <n v="27833"/>
    <n v="12967"/>
    <n v="31.78"/>
    <x v="3"/>
    <s v="Agus"/>
    <x v="1"/>
    <x v="1"/>
    <n v="3"/>
  </r>
  <r>
    <x v="849"/>
    <d v="2024-10-21T00:00:00"/>
    <s v="Rabu"/>
    <x v="1"/>
    <s v="Q2"/>
    <n v="2024"/>
    <s v="Sore (16-20)"/>
    <s v="Lip Balm Nivea"/>
    <x v="3"/>
    <n v="18000"/>
    <n v="5"/>
    <n v="5"/>
    <n v="85500"/>
    <n v="54592"/>
    <n v="30908"/>
    <n v="36.15"/>
    <x v="1"/>
    <s v="Siti"/>
    <x v="0"/>
    <x v="1"/>
    <n v="3"/>
  </r>
  <r>
    <x v="850"/>
    <d v="2023-08-20T00:00:00"/>
    <s v="Senin"/>
    <x v="1"/>
    <s v="Q2"/>
    <n v="2023"/>
    <s v="Malam (20-22)"/>
    <s v="Aqua 1.5L"/>
    <x v="0"/>
    <n v="5000"/>
    <n v="4"/>
    <n v="0"/>
    <n v="20000"/>
    <n v="11561"/>
    <n v="8439"/>
    <n v="42.2"/>
    <x v="0"/>
    <s v="Rina"/>
    <x v="2"/>
    <x v="0"/>
    <n v="4"/>
  </r>
  <r>
    <x v="851"/>
    <d v="2023-09-20T00:00:00"/>
    <s v="Minggu"/>
    <x v="10"/>
    <s v="Q4"/>
    <n v="2024"/>
    <s v="Pagi (08-12)"/>
    <s v="Deodorant Rexona"/>
    <x v="3"/>
    <n v="20000"/>
    <n v="8"/>
    <n v="5"/>
    <n v="152000"/>
    <n v="96908"/>
    <n v="55092"/>
    <n v="36.24"/>
    <x v="3"/>
    <s v="Rina"/>
    <x v="1"/>
    <x v="0"/>
    <n v="1"/>
  </r>
  <r>
    <x v="852"/>
    <d v="2024-11-21T00:00:00"/>
    <s v="Senin"/>
    <x v="3"/>
    <s v="Q1"/>
    <n v="2024"/>
    <s v="Malam (20-22)"/>
    <s v="Lip Balm Nivea"/>
    <x v="3"/>
    <n v="18000"/>
    <n v="4"/>
    <n v="15"/>
    <n v="61200"/>
    <n v="40539"/>
    <n v="20661"/>
    <n v="33.76"/>
    <x v="3"/>
    <s v="Dewi"/>
    <x v="0"/>
    <x v="0"/>
    <n v="5"/>
  </r>
  <r>
    <x v="853"/>
    <d v="2023-11-08T00:00:00"/>
    <s v="Sabtu"/>
    <x v="9"/>
    <s v="Q3"/>
    <n v="2023"/>
    <s v="Malam (20-22)"/>
    <s v="Chitato"/>
    <x v="1"/>
    <n v="12000"/>
    <n v="6"/>
    <n v="20"/>
    <n v="57600"/>
    <n v="32985"/>
    <n v="24615"/>
    <n v="42.73"/>
    <x v="4"/>
    <s v="Rina"/>
    <x v="1"/>
    <x v="1"/>
    <n v="2"/>
  </r>
  <r>
    <x v="854"/>
    <d v="2024-07-20T00:00:00"/>
    <s v="Kamis"/>
    <x v="2"/>
    <s v="Q1"/>
    <n v="2024"/>
    <s v="Malam (20-22)"/>
    <s v="Pocari Sweat"/>
    <x v="0"/>
    <n v="8000"/>
    <n v="4"/>
    <n v="20"/>
    <n v="25600"/>
    <n v="16426"/>
    <n v="9174"/>
    <n v="35.840000000000003"/>
    <x v="0"/>
    <s v="Siti"/>
    <x v="2"/>
    <x v="1"/>
    <n v="3"/>
  </r>
  <r>
    <x v="855"/>
    <d v="2023-04-12T00:00:00"/>
    <s v="Senin"/>
    <x v="9"/>
    <s v="Q3"/>
    <n v="2023"/>
    <s v="Malam (20-22)"/>
    <s v="Susu Ultra"/>
    <x v="0"/>
    <n v="9000"/>
    <n v="7"/>
    <n v="0"/>
    <n v="63000"/>
    <n v="44536"/>
    <n v="18464"/>
    <n v="29.31"/>
    <x v="3"/>
    <s v="Rina"/>
    <x v="1"/>
    <x v="0"/>
    <n v="3"/>
  </r>
  <r>
    <x v="856"/>
    <d v="2024-07-21T00:00:00"/>
    <s v="Sabtu"/>
    <x v="2"/>
    <s v="Q1"/>
    <n v="2023"/>
    <s v="Malam (20-22)"/>
    <s v="Hand Sanitizer"/>
    <x v="3"/>
    <n v="12000"/>
    <n v="6"/>
    <n v="0"/>
    <n v="72000"/>
    <n v="43932"/>
    <n v="28068"/>
    <n v="38.979999999999997"/>
    <x v="0"/>
    <s v="Siti"/>
    <x v="3"/>
    <x v="1"/>
    <n v="1"/>
  </r>
  <r>
    <x v="857"/>
    <d v="2024-11-02T00:00:00"/>
    <s v="Jumat"/>
    <x v="1"/>
    <s v="Q2"/>
    <n v="2023"/>
    <s v="Malam (20-22)"/>
    <s v="Sania Minyak Goreng"/>
    <x v="4"/>
    <n v="28000"/>
    <n v="4"/>
    <n v="0"/>
    <n v="112000"/>
    <n v="71674"/>
    <n v="40326"/>
    <n v="36.01"/>
    <x v="1"/>
    <s v="Agus"/>
    <x v="0"/>
    <x v="0"/>
    <n v="2"/>
  </r>
  <r>
    <x v="858"/>
    <d v="2024-07-14T00:00:00"/>
    <s v="Minggu"/>
    <x v="10"/>
    <s v="Q4"/>
    <n v="2024"/>
    <s v="Sore (16-20)"/>
    <s v="Shampo Sunsilk"/>
    <x v="2"/>
    <n v="15000"/>
    <n v="8"/>
    <n v="5"/>
    <n v="114000"/>
    <n v="69954"/>
    <n v="44046"/>
    <n v="38.64"/>
    <x v="4"/>
    <s v="Agus"/>
    <x v="3"/>
    <x v="0"/>
    <n v="4"/>
  </r>
  <r>
    <x v="859"/>
    <d v="2023-05-22T00:00:00"/>
    <s v="Minggu"/>
    <x v="10"/>
    <s v="Q4"/>
    <n v="2024"/>
    <s v="Pagi (08-12)"/>
    <s v="Saos Sambal"/>
    <x v="4"/>
    <n v="10000"/>
    <n v="3"/>
    <n v="0"/>
    <n v="30000"/>
    <n v="20310"/>
    <n v="9690"/>
    <n v="32.299999999999997"/>
    <x v="0"/>
    <s v="Siti"/>
    <x v="3"/>
    <x v="0"/>
    <n v="3"/>
  </r>
  <r>
    <x v="860"/>
    <d v="2023-01-08T00:00:00"/>
    <s v="Sabtu"/>
    <x v="5"/>
    <s v="Q1"/>
    <n v="2023"/>
    <s v="Malam (20-22)"/>
    <s v="Indomie Goreng"/>
    <x v="1"/>
    <n v="3500"/>
    <n v="7"/>
    <n v="15"/>
    <n v="20825"/>
    <n v="12626"/>
    <n v="8199"/>
    <n v="39.369999999999997"/>
    <x v="0"/>
    <s v="Budi"/>
    <x v="3"/>
    <x v="1"/>
    <n v="1"/>
  </r>
  <r>
    <x v="861"/>
    <d v="2023-04-21T00:00:00"/>
    <s v="Kamis"/>
    <x v="3"/>
    <s v="Q1"/>
    <n v="2024"/>
    <s v="Malam (20-22)"/>
    <s v="Gula Pasir 1kg"/>
    <x v="4"/>
    <n v="16000"/>
    <n v="8"/>
    <n v="20"/>
    <n v="102400"/>
    <n v="68188"/>
    <n v="34212"/>
    <n v="33.409999999999997"/>
    <x v="1"/>
    <s v="Siti"/>
    <x v="1"/>
    <x v="0"/>
    <n v="1"/>
  </r>
  <r>
    <x v="862"/>
    <d v="2024-01-30T00:00:00"/>
    <s v="Jumat"/>
    <x v="1"/>
    <s v="Q2"/>
    <n v="2023"/>
    <s v="Malam (20-22)"/>
    <s v="Teh Botol"/>
    <x v="0"/>
    <n v="6000"/>
    <n v="3"/>
    <n v="0"/>
    <n v="18000"/>
    <n v="11430"/>
    <n v="6570"/>
    <n v="36.5"/>
    <x v="1"/>
    <s v="Rina"/>
    <x v="2"/>
    <x v="0"/>
    <n v="4"/>
  </r>
  <r>
    <x v="863"/>
    <d v="2024-01-30T00:00:00"/>
    <s v="Senin"/>
    <x v="11"/>
    <s v="Q2"/>
    <n v="2024"/>
    <s v="Siang (12-16)"/>
    <s v="Pasta Gigi Pepsodent"/>
    <x v="2"/>
    <n v="12000"/>
    <n v="8"/>
    <n v="0"/>
    <n v="96000"/>
    <n v="65218"/>
    <n v="30782"/>
    <n v="32.06"/>
    <x v="1"/>
    <s v="Dewi"/>
    <x v="3"/>
    <x v="0"/>
    <n v="3"/>
  </r>
  <r>
    <x v="864"/>
    <d v="2023-04-09T00:00:00"/>
    <s v="Jumat"/>
    <x v="1"/>
    <s v="Q2"/>
    <n v="2023"/>
    <s v="Siang (12-16)"/>
    <s v="Shampo Sunsilk"/>
    <x v="2"/>
    <n v="15000"/>
    <n v="7"/>
    <n v="0"/>
    <n v="105000"/>
    <n v="66209"/>
    <n v="38791"/>
    <n v="36.94"/>
    <x v="0"/>
    <s v="Dewi"/>
    <x v="4"/>
    <x v="0"/>
    <n v="5"/>
  </r>
  <r>
    <x v="865"/>
    <d v="2024-07-11T00:00:00"/>
    <s v="Minggu"/>
    <x v="0"/>
    <s v="Q4"/>
    <n v="2024"/>
    <s v="Malam (20-22)"/>
    <s v="Oreo"/>
    <x v="1"/>
    <n v="10000"/>
    <n v="2"/>
    <n v="0"/>
    <n v="20000"/>
    <n v="12364"/>
    <n v="7636"/>
    <n v="38.18"/>
    <x v="4"/>
    <s v="Budi"/>
    <x v="3"/>
    <x v="0"/>
    <n v="5"/>
  </r>
  <r>
    <x v="866"/>
    <d v="2023-06-17T00:00:00"/>
    <s v="Senin"/>
    <x v="4"/>
    <s v="Q3"/>
    <n v="2023"/>
    <s v="Malam (20-22)"/>
    <s v="Aqua 1.5L"/>
    <x v="0"/>
    <n v="5000"/>
    <n v="7"/>
    <n v="5"/>
    <n v="33250"/>
    <n v="21255"/>
    <n v="11995"/>
    <n v="36.08"/>
    <x v="1"/>
    <s v="Budi"/>
    <x v="2"/>
    <x v="1"/>
    <n v="1"/>
  </r>
  <r>
    <x v="867"/>
    <d v="2023-12-22T00:00:00"/>
    <s v="Kamis"/>
    <x v="7"/>
    <s v="Q2"/>
    <n v="2024"/>
    <s v="Siang (12-16)"/>
    <s v="Kecap ABC"/>
    <x v="4"/>
    <n v="14000"/>
    <n v="5"/>
    <n v="0"/>
    <n v="70000"/>
    <n v="41704"/>
    <n v="28296"/>
    <n v="40.42"/>
    <x v="4"/>
    <s v="Siti"/>
    <x v="1"/>
    <x v="1"/>
    <n v="1"/>
  </r>
  <r>
    <x v="868"/>
    <d v="2024-10-12T00:00:00"/>
    <s v="Kamis"/>
    <x v="4"/>
    <s v="Q3"/>
    <n v="2023"/>
    <s v="Sore (16-20)"/>
    <s v="Aqua 1.5L"/>
    <x v="0"/>
    <n v="5000"/>
    <n v="1"/>
    <n v="15"/>
    <n v="4250"/>
    <n v="2876"/>
    <n v="1374"/>
    <n v="32.33"/>
    <x v="1"/>
    <s v="Siti"/>
    <x v="1"/>
    <x v="0"/>
    <n v="4"/>
  </r>
  <r>
    <x v="869"/>
    <d v="2023-10-31T00:00:00"/>
    <s v="Minggu"/>
    <x v="4"/>
    <s v="Q3"/>
    <n v="2023"/>
    <s v="Siang (12-16)"/>
    <s v="Deterjen Rinso"/>
    <x v="2"/>
    <n v="22000"/>
    <n v="6"/>
    <n v="0"/>
    <n v="132000"/>
    <n v="79430"/>
    <n v="52570"/>
    <n v="39.83"/>
    <x v="0"/>
    <s v="Rina"/>
    <x v="4"/>
    <x v="1"/>
    <n v="3"/>
  </r>
  <r>
    <x v="870"/>
    <d v="2023-01-07T00:00:00"/>
    <s v="Sabtu"/>
    <x v="2"/>
    <s v="Q1"/>
    <n v="2024"/>
    <s v="Malam (20-22)"/>
    <s v="Kapas Kecantikan"/>
    <x v="3"/>
    <n v="8000"/>
    <n v="10"/>
    <n v="0"/>
    <n v="80000"/>
    <n v="47240"/>
    <n v="32760"/>
    <n v="40.950000000000003"/>
    <x v="4"/>
    <s v="Budi"/>
    <x v="4"/>
    <x v="0"/>
    <n v="1"/>
  </r>
  <r>
    <x v="871"/>
    <d v="2024-07-23T00:00:00"/>
    <s v="Minggu"/>
    <x v="11"/>
    <s v="Q2"/>
    <n v="2023"/>
    <s v="Pagi (08-12)"/>
    <s v="Pelembab Vaseline"/>
    <x v="3"/>
    <n v="25000"/>
    <n v="1"/>
    <n v="10"/>
    <n v="22500"/>
    <n v="16079"/>
    <n v="6421"/>
    <n v="28.54"/>
    <x v="1"/>
    <s v="Budi"/>
    <x v="1"/>
    <x v="0"/>
    <n v="5"/>
  </r>
  <r>
    <x v="872"/>
    <d v="2023-10-27T00:00:00"/>
    <s v="Rabu"/>
    <x v="6"/>
    <s v="Q3"/>
    <n v="2024"/>
    <s v="Siang (12-16)"/>
    <s v="Pasta Gigi Pepsodent"/>
    <x v="2"/>
    <n v="12000"/>
    <n v="8"/>
    <n v="20"/>
    <n v="76800"/>
    <n v="44877"/>
    <n v="31923"/>
    <n v="41.57"/>
    <x v="1"/>
    <s v="Rina"/>
    <x v="3"/>
    <x v="1"/>
    <n v="5"/>
  </r>
  <r>
    <x v="873"/>
    <d v="2023-05-24T00:00:00"/>
    <s v="Minggu"/>
    <x v="8"/>
    <s v="Q4"/>
    <n v="2024"/>
    <s v="Malam (20-22)"/>
    <s v="Softex"/>
    <x v="2"/>
    <n v="18000"/>
    <n v="6"/>
    <n v="0"/>
    <n v="108000"/>
    <n v="67634"/>
    <n v="40366"/>
    <n v="37.380000000000003"/>
    <x v="0"/>
    <s v="Agus"/>
    <x v="0"/>
    <x v="1"/>
    <n v="5"/>
  </r>
  <r>
    <x v="874"/>
    <d v="2023-03-21T00:00:00"/>
    <s v="Kamis"/>
    <x v="11"/>
    <s v="Q2"/>
    <n v="2024"/>
    <s v="Pagi (08-12)"/>
    <s v="Teh Botol"/>
    <x v="0"/>
    <n v="6000"/>
    <n v="10"/>
    <n v="0"/>
    <n v="60000"/>
    <n v="40106"/>
    <n v="19894"/>
    <n v="33.159999999999997"/>
    <x v="1"/>
    <s v="Siti"/>
    <x v="0"/>
    <x v="0"/>
    <n v="4"/>
  </r>
  <r>
    <x v="875"/>
    <d v="2023-11-04T00:00:00"/>
    <s v="Selasa"/>
    <x v="11"/>
    <s v="Q2"/>
    <n v="2024"/>
    <s v="Malam (20-22)"/>
    <s v="Kapas Kecantikan"/>
    <x v="3"/>
    <n v="8000"/>
    <n v="2"/>
    <n v="0"/>
    <n v="16000"/>
    <n v="9991"/>
    <n v="6009"/>
    <n v="37.56"/>
    <x v="3"/>
    <s v="Agus"/>
    <x v="4"/>
    <x v="1"/>
    <n v="5"/>
  </r>
  <r>
    <x v="876"/>
    <d v="2023-11-05T00:00:00"/>
    <s v="Jumat"/>
    <x v="0"/>
    <s v="Q4"/>
    <n v="2023"/>
    <s v="Malam (20-22)"/>
    <s v="Oreo"/>
    <x v="1"/>
    <n v="10000"/>
    <n v="1"/>
    <n v="0"/>
    <n v="10000"/>
    <n v="6472"/>
    <n v="3528"/>
    <n v="35.28"/>
    <x v="3"/>
    <s v="Rina"/>
    <x v="4"/>
    <x v="1"/>
    <n v="3"/>
  </r>
  <r>
    <x v="877"/>
    <d v="2024-01-22T00:00:00"/>
    <s v="Senin"/>
    <x v="9"/>
    <s v="Q3"/>
    <n v="2023"/>
    <s v="Sore (16-20)"/>
    <s v="Pasta Gigi Pepsodent"/>
    <x v="2"/>
    <n v="12000"/>
    <n v="9"/>
    <n v="0"/>
    <n v="108000"/>
    <n v="62542"/>
    <n v="45458"/>
    <n v="42.09"/>
    <x v="0"/>
    <s v="Dewi"/>
    <x v="3"/>
    <x v="0"/>
    <n v="2"/>
  </r>
  <r>
    <x v="878"/>
    <d v="2024-12-27T00:00:00"/>
    <s v="Kamis"/>
    <x v="0"/>
    <s v="Q4"/>
    <n v="2023"/>
    <s v="Pagi (08-12)"/>
    <s v="Qtela"/>
    <x v="1"/>
    <n v="14000"/>
    <n v="1"/>
    <n v="15"/>
    <n v="11900"/>
    <n v="8528"/>
    <n v="3372"/>
    <n v="28.34"/>
    <x v="1"/>
    <s v="Dewi"/>
    <x v="0"/>
    <x v="1"/>
    <n v="5"/>
  </r>
  <r>
    <x v="879"/>
    <d v="2024-11-06T00:00:00"/>
    <s v="Sabtu"/>
    <x v="2"/>
    <s v="Q1"/>
    <n v="2024"/>
    <s v="Sore (16-20)"/>
    <s v="Sabun Lifebuoy"/>
    <x v="2"/>
    <n v="8000"/>
    <n v="9"/>
    <n v="0"/>
    <n v="72000"/>
    <n v="48438"/>
    <n v="23562"/>
    <n v="32.729999999999997"/>
    <x v="2"/>
    <s v="Dewi"/>
    <x v="2"/>
    <x v="0"/>
    <n v="1"/>
  </r>
  <r>
    <x v="880"/>
    <d v="2023-02-08T00:00:00"/>
    <s v="Minggu"/>
    <x v="8"/>
    <s v="Q4"/>
    <n v="2023"/>
    <s v="Malam (20-22)"/>
    <s v="Qtela"/>
    <x v="1"/>
    <n v="14000"/>
    <n v="3"/>
    <n v="0"/>
    <n v="42000"/>
    <n v="30037"/>
    <n v="11963"/>
    <n v="28.48"/>
    <x v="3"/>
    <s v="Dewi"/>
    <x v="0"/>
    <x v="1"/>
    <n v="5"/>
  </r>
  <r>
    <x v="881"/>
    <d v="2024-10-23T00:00:00"/>
    <s v="Kamis"/>
    <x v="4"/>
    <s v="Q3"/>
    <n v="2024"/>
    <s v="Malam (20-22)"/>
    <s v="Indomie Goreng"/>
    <x v="1"/>
    <n v="3500"/>
    <n v="4"/>
    <n v="0"/>
    <n v="14000"/>
    <n v="8340"/>
    <n v="5660"/>
    <n v="40.43"/>
    <x v="3"/>
    <s v="Agus"/>
    <x v="3"/>
    <x v="0"/>
    <n v="4"/>
  </r>
  <r>
    <x v="882"/>
    <d v="2024-02-06T00:00:00"/>
    <s v="Sabtu"/>
    <x v="2"/>
    <s v="Q1"/>
    <n v="2024"/>
    <s v="Malam (20-22)"/>
    <s v="Indomie Goreng"/>
    <x v="1"/>
    <n v="3500"/>
    <n v="2"/>
    <n v="5"/>
    <n v="6650"/>
    <n v="3863"/>
    <n v="2787"/>
    <n v="41.91"/>
    <x v="1"/>
    <s v="Budi"/>
    <x v="3"/>
    <x v="0"/>
    <n v="3"/>
  </r>
  <r>
    <x v="883"/>
    <d v="2023-04-30T00:00:00"/>
    <s v="Minggu"/>
    <x v="2"/>
    <s v="Q1"/>
    <n v="2023"/>
    <s v="Siang (12-16)"/>
    <s v="Shampo Sunsilk"/>
    <x v="2"/>
    <n v="15000"/>
    <n v="3"/>
    <n v="20"/>
    <n v="36000"/>
    <n v="22212"/>
    <n v="13788"/>
    <n v="38.299999999999997"/>
    <x v="3"/>
    <s v="Budi"/>
    <x v="0"/>
    <x v="0"/>
    <n v="4"/>
  </r>
  <r>
    <x v="884"/>
    <d v="2024-03-25T00:00:00"/>
    <s v="Sabtu"/>
    <x v="6"/>
    <s v="Q3"/>
    <n v="2023"/>
    <s v="Malam (20-22)"/>
    <s v="Sania Minyak Goreng"/>
    <x v="4"/>
    <n v="28000"/>
    <n v="2"/>
    <n v="15"/>
    <n v="47600"/>
    <n v="30443"/>
    <n v="17157"/>
    <n v="36.04"/>
    <x v="0"/>
    <s v="Dewi"/>
    <x v="0"/>
    <x v="1"/>
    <n v="1"/>
  </r>
  <r>
    <x v="885"/>
    <d v="2024-06-13T00:00:00"/>
    <s v="Minggu"/>
    <x v="1"/>
    <s v="Q2"/>
    <n v="2023"/>
    <s v="Pagi (08-12)"/>
    <s v="Aqua 1.5L"/>
    <x v="0"/>
    <n v="5000"/>
    <n v="3"/>
    <n v="0"/>
    <n v="15000"/>
    <n v="10214"/>
    <n v="4786"/>
    <n v="31.91"/>
    <x v="4"/>
    <s v="Budi"/>
    <x v="4"/>
    <x v="0"/>
    <n v="1"/>
  </r>
  <r>
    <x v="886"/>
    <d v="2024-02-11T00:00:00"/>
    <s v="Selasa"/>
    <x v="4"/>
    <s v="Q3"/>
    <n v="2024"/>
    <s v="Sore (16-20)"/>
    <s v="Sabun Lifebuoy"/>
    <x v="2"/>
    <n v="8000"/>
    <n v="4"/>
    <n v="0"/>
    <n v="32000"/>
    <n v="20214"/>
    <n v="11786"/>
    <n v="36.83"/>
    <x v="3"/>
    <s v="Agus"/>
    <x v="3"/>
    <x v="1"/>
    <n v="4"/>
  </r>
  <r>
    <x v="887"/>
    <d v="2024-08-15T00:00:00"/>
    <s v="Kamis"/>
    <x v="7"/>
    <s v="Q2"/>
    <n v="2023"/>
    <s v="Pagi (08-12)"/>
    <s v="Chitato"/>
    <x v="1"/>
    <n v="12000"/>
    <n v="9"/>
    <n v="15"/>
    <n v="91800"/>
    <n v="54664"/>
    <n v="37136"/>
    <n v="40.450000000000003"/>
    <x v="3"/>
    <s v="Rina"/>
    <x v="0"/>
    <x v="0"/>
    <n v="5"/>
  </r>
  <r>
    <x v="888"/>
    <d v="2024-02-03T00:00:00"/>
    <s v="Selasa"/>
    <x v="0"/>
    <s v="Q4"/>
    <n v="2023"/>
    <s v="Malam (20-22)"/>
    <s v="Susu Ultra"/>
    <x v="0"/>
    <n v="9000"/>
    <n v="7"/>
    <n v="0"/>
    <n v="63000"/>
    <n v="34663"/>
    <n v="28337"/>
    <n v="44.98"/>
    <x v="1"/>
    <s v="Rina"/>
    <x v="3"/>
    <x v="1"/>
    <n v="2"/>
  </r>
  <r>
    <x v="889"/>
    <d v="2023-11-18T00:00:00"/>
    <s v="Kamis"/>
    <x v="8"/>
    <s v="Q4"/>
    <n v="2023"/>
    <s v="Pagi (08-12)"/>
    <s v="Shampo Sunsilk"/>
    <x v="2"/>
    <n v="15000"/>
    <n v="7"/>
    <n v="15"/>
    <n v="89250"/>
    <n v="62503"/>
    <n v="26747"/>
    <n v="29.97"/>
    <x v="0"/>
    <s v="Agus"/>
    <x v="3"/>
    <x v="0"/>
    <n v="1"/>
  </r>
  <r>
    <x v="890"/>
    <d v="2024-01-29T00:00:00"/>
    <s v="Senin"/>
    <x v="0"/>
    <s v="Q4"/>
    <n v="2023"/>
    <s v="Siang (12-16)"/>
    <s v="Sabun Lifebuoy"/>
    <x v="2"/>
    <n v="8000"/>
    <n v="10"/>
    <n v="0"/>
    <n v="80000"/>
    <n v="45610"/>
    <n v="34390"/>
    <n v="42.99"/>
    <x v="0"/>
    <s v="Rina"/>
    <x v="4"/>
    <x v="0"/>
    <n v="4"/>
  </r>
  <r>
    <x v="891"/>
    <d v="2023-07-12T00:00:00"/>
    <s v="Kamis"/>
    <x v="7"/>
    <s v="Q2"/>
    <n v="2024"/>
    <s v="Sore (16-20)"/>
    <s v="Softex"/>
    <x v="2"/>
    <n v="18000"/>
    <n v="3"/>
    <n v="15"/>
    <n v="45900"/>
    <n v="28563"/>
    <n v="17337"/>
    <n v="37.770000000000003"/>
    <x v="4"/>
    <s v="Dewi"/>
    <x v="2"/>
    <x v="0"/>
    <n v="3"/>
  </r>
  <r>
    <x v="892"/>
    <d v="2024-06-02T00:00:00"/>
    <s v="Minggu"/>
    <x v="11"/>
    <s v="Q2"/>
    <n v="2024"/>
    <s v="Siang (12-16)"/>
    <s v="Pasta Gigi Pepsodent"/>
    <x v="2"/>
    <n v="12000"/>
    <n v="2"/>
    <n v="20"/>
    <n v="19200"/>
    <n v="10567"/>
    <n v="8633"/>
    <n v="44.96"/>
    <x v="1"/>
    <s v="Budi"/>
    <x v="2"/>
    <x v="1"/>
    <n v="4"/>
  </r>
  <r>
    <x v="893"/>
    <d v="2023-10-28T00:00:00"/>
    <s v="Sabtu"/>
    <x v="11"/>
    <s v="Q2"/>
    <n v="2024"/>
    <s v="Sore (16-20)"/>
    <s v="Aqua 1.5L"/>
    <x v="0"/>
    <n v="5000"/>
    <n v="10"/>
    <n v="5"/>
    <n v="47500"/>
    <n v="33874"/>
    <n v="13626"/>
    <n v="28.69"/>
    <x v="4"/>
    <s v="Budi"/>
    <x v="0"/>
    <x v="0"/>
    <n v="2"/>
  </r>
  <r>
    <x v="894"/>
    <d v="2024-07-11T00:00:00"/>
    <s v="Selasa"/>
    <x v="2"/>
    <s v="Q1"/>
    <n v="2024"/>
    <s v="Siang (12-16)"/>
    <s v="Pasta Gigi Pepsodent"/>
    <x v="2"/>
    <n v="12000"/>
    <n v="8"/>
    <n v="5"/>
    <n v="91200"/>
    <n v="57622"/>
    <n v="33578"/>
    <n v="36.82"/>
    <x v="2"/>
    <s v="Dewi"/>
    <x v="2"/>
    <x v="0"/>
    <n v="4"/>
  </r>
  <r>
    <x v="895"/>
    <d v="2023-02-04T00:00:00"/>
    <s v="Senin"/>
    <x v="3"/>
    <s v="Q1"/>
    <n v="2024"/>
    <s v="Pagi (08-12)"/>
    <s v="Hand Sanitizer"/>
    <x v="3"/>
    <n v="12000"/>
    <n v="9"/>
    <n v="10"/>
    <n v="97200"/>
    <n v="61600"/>
    <n v="35600"/>
    <n v="36.630000000000003"/>
    <x v="3"/>
    <s v="Budi"/>
    <x v="1"/>
    <x v="1"/>
    <n v="5"/>
  </r>
  <r>
    <x v="896"/>
    <d v="2024-10-10T00:00:00"/>
    <s v="Rabu"/>
    <x v="9"/>
    <s v="Q3"/>
    <n v="2024"/>
    <s v="Malam (20-22)"/>
    <s v="Chitato"/>
    <x v="1"/>
    <n v="12000"/>
    <n v="4"/>
    <n v="0"/>
    <n v="48000"/>
    <n v="26423"/>
    <n v="21577"/>
    <n v="44.95"/>
    <x v="0"/>
    <s v="Siti"/>
    <x v="4"/>
    <x v="0"/>
    <n v="1"/>
  </r>
  <r>
    <x v="897"/>
    <d v="2024-07-06T00:00:00"/>
    <s v="Jumat"/>
    <x v="3"/>
    <s v="Q1"/>
    <n v="2023"/>
    <s v="Siang (12-16)"/>
    <s v="Pasta Gigi Pepsodent"/>
    <x v="2"/>
    <n v="12000"/>
    <n v="3"/>
    <n v="0"/>
    <n v="36000"/>
    <n v="22618"/>
    <n v="13382"/>
    <n v="37.17"/>
    <x v="3"/>
    <s v="Agus"/>
    <x v="3"/>
    <x v="0"/>
    <n v="1"/>
  </r>
  <r>
    <x v="898"/>
    <d v="2024-11-03T00:00:00"/>
    <s v="Senin"/>
    <x v="11"/>
    <s v="Q2"/>
    <n v="2023"/>
    <s v="Pagi (08-12)"/>
    <s v="Teh Botol"/>
    <x v="0"/>
    <n v="6000"/>
    <n v="7"/>
    <n v="15"/>
    <n v="35700"/>
    <n v="19795"/>
    <n v="15905"/>
    <n v="44.55"/>
    <x v="2"/>
    <s v="Siti"/>
    <x v="0"/>
    <x v="0"/>
    <n v="4"/>
  </r>
  <r>
    <x v="899"/>
    <d v="2024-01-21T00:00:00"/>
    <s v="Sabtu"/>
    <x v="9"/>
    <s v="Q3"/>
    <n v="2024"/>
    <s v="Malam (20-22)"/>
    <s v="Chitato"/>
    <x v="1"/>
    <n v="12000"/>
    <n v="3"/>
    <n v="0"/>
    <n v="36000"/>
    <n v="20665"/>
    <n v="15335"/>
    <n v="42.6"/>
    <x v="1"/>
    <s v="Rina"/>
    <x v="0"/>
    <x v="0"/>
    <n v="2"/>
  </r>
  <r>
    <x v="900"/>
    <d v="2023-01-04T00:00:00"/>
    <s v="Jumat"/>
    <x v="1"/>
    <s v="Q2"/>
    <n v="2024"/>
    <s v="Sore (16-20)"/>
    <s v="Cheetos"/>
    <x v="1"/>
    <n v="11000"/>
    <n v="5"/>
    <n v="5"/>
    <n v="52250"/>
    <n v="32393"/>
    <n v="19857"/>
    <n v="38"/>
    <x v="4"/>
    <s v="Agus"/>
    <x v="0"/>
    <x v="0"/>
    <n v="2"/>
  </r>
  <r>
    <x v="901"/>
    <d v="2023-10-03T00:00:00"/>
    <s v="Jumat"/>
    <x v="3"/>
    <s v="Q1"/>
    <n v="2023"/>
    <s v="Sore (16-20)"/>
    <s v="Susu Ultra"/>
    <x v="0"/>
    <n v="9000"/>
    <n v="3"/>
    <n v="10"/>
    <n v="24300"/>
    <n v="14027"/>
    <n v="10273"/>
    <n v="42.28"/>
    <x v="2"/>
    <s v="Agus"/>
    <x v="1"/>
    <x v="1"/>
    <n v="2"/>
  </r>
  <r>
    <x v="902"/>
    <d v="2024-10-04T00:00:00"/>
    <s v="Sabtu"/>
    <x v="3"/>
    <s v="Q1"/>
    <n v="2024"/>
    <s v="Pagi (08-12)"/>
    <s v="Qtela"/>
    <x v="1"/>
    <n v="14000"/>
    <n v="2"/>
    <n v="10"/>
    <n v="25200"/>
    <n v="15477"/>
    <n v="9723"/>
    <n v="38.58"/>
    <x v="1"/>
    <s v="Budi"/>
    <x v="1"/>
    <x v="0"/>
    <n v="4"/>
  </r>
  <r>
    <x v="903"/>
    <d v="2023-06-13T00:00:00"/>
    <s v="Sabtu"/>
    <x v="4"/>
    <s v="Q3"/>
    <n v="2023"/>
    <s v="Malam (20-22)"/>
    <s v="Kapas Kecantikan"/>
    <x v="3"/>
    <n v="8000"/>
    <n v="2"/>
    <n v="20"/>
    <n v="12800"/>
    <n v="8547"/>
    <n v="4253"/>
    <n v="33.229999999999997"/>
    <x v="2"/>
    <s v="Siti"/>
    <x v="1"/>
    <x v="0"/>
    <n v="1"/>
  </r>
  <r>
    <x v="904"/>
    <d v="2024-11-03T00:00:00"/>
    <s v="Selasa"/>
    <x v="2"/>
    <s v="Q1"/>
    <n v="2024"/>
    <s v="Pagi (08-12)"/>
    <s v="Saos Sambal"/>
    <x v="4"/>
    <n v="10000"/>
    <n v="5"/>
    <n v="0"/>
    <n v="50000"/>
    <n v="28387"/>
    <n v="21613"/>
    <n v="43.23"/>
    <x v="4"/>
    <s v="Dewi"/>
    <x v="2"/>
    <x v="0"/>
    <n v="3"/>
  </r>
  <r>
    <x v="905"/>
    <d v="2024-12-14T00:00:00"/>
    <s v="Jumat"/>
    <x v="7"/>
    <s v="Q2"/>
    <n v="2023"/>
    <s v="Siang (12-16)"/>
    <s v="Pelembab Vaseline"/>
    <x v="3"/>
    <n v="25000"/>
    <n v="2"/>
    <n v="0"/>
    <n v="50000"/>
    <n v="32575"/>
    <n v="17425"/>
    <n v="34.85"/>
    <x v="4"/>
    <s v="Budi"/>
    <x v="4"/>
    <x v="0"/>
    <n v="2"/>
  </r>
  <r>
    <x v="906"/>
    <d v="2023-11-18T00:00:00"/>
    <s v="Selasa"/>
    <x v="0"/>
    <s v="Q4"/>
    <n v="2023"/>
    <s v="Sore (16-20)"/>
    <s v="Susu Ultra"/>
    <x v="0"/>
    <n v="9000"/>
    <n v="10"/>
    <n v="0"/>
    <n v="90000"/>
    <n v="58125"/>
    <n v="31875"/>
    <n v="35.42"/>
    <x v="2"/>
    <s v="Rina"/>
    <x v="0"/>
    <x v="0"/>
    <n v="3"/>
  </r>
  <r>
    <x v="907"/>
    <d v="2023-12-27T00:00:00"/>
    <s v="Senin"/>
    <x v="2"/>
    <s v="Q1"/>
    <n v="2023"/>
    <s v="Pagi (08-12)"/>
    <s v="Pasta Gigi Pepsodent"/>
    <x v="2"/>
    <n v="12000"/>
    <n v="7"/>
    <n v="10"/>
    <n v="75600"/>
    <n v="44085"/>
    <n v="31515"/>
    <n v="41.69"/>
    <x v="2"/>
    <s v="Siti"/>
    <x v="3"/>
    <x v="1"/>
    <n v="4"/>
  </r>
  <r>
    <x v="908"/>
    <d v="2024-01-30T00:00:00"/>
    <s v="Kamis"/>
    <x v="11"/>
    <s v="Q2"/>
    <n v="2024"/>
    <s v="Pagi (08-12)"/>
    <s v="Susu Ultra"/>
    <x v="0"/>
    <n v="9000"/>
    <n v="3"/>
    <n v="0"/>
    <n v="27000"/>
    <n v="17545"/>
    <n v="9455"/>
    <n v="35.020000000000003"/>
    <x v="2"/>
    <s v="Agus"/>
    <x v="4"/>
    <x v="1"/>
    <n v="2"/>
  </r>
  <r>
    <x v="909"/>
    <d v="2023-07-31T00:00:00"/>
    <s v="Senin"/>
    <x v="7"/>
    <s v="Q2"/>
    <n v="2023"/>
    <s v="Sore (16-20)"/>
    <s v="Kecap ABC"/>
    <x v="4"/>
    <n v="14000"/>
    <n v="2"/>
    <n v="15"/>
    <n v="23800"/>
    <n v="14027"/>
    <n v="9773"/>
    <n v="41.06"/>
    <x v="1"/>
    <s v="Budi"/>
    <x v="3"/>
    <x v="1"/>
    <n v="2"/>
  </r>
  <r>
    <x v="910"/>
    <d v="2023-09-05T00:00:00"/>
    <s v="Kamis"/>
    <x v="8"/>
    <s v="Q4"/>
    <n v="2023"/>
    <s v="Siang (12-16)"/>
    <s v="Pasta Gigi Pepsodent"/>
    <x v="2"/>
    <n v="12000"/>
    <n v="10"/>
    <n v="20"/>
    <n v="96000"/>
    <n v="68143"/>
    <n v="27857"/>
    <n v="29.02"/>
    <x v="0"/>
    <s v="Agus"/>
    <x v="3"/>
    <x v="0"/>
    <n v="2"/>
  </r>
  <r>
    <x v="911"/>
    <d v="2024-03-07T00:00:00"/>
    <s v="Sabtu"/>
    <x v="9"/>
    <s v="Q3"/>
    <n v="2024"/>
    <s v="Malam (20-22)"/>
    <s v="Kecap ABC"/>
    <x v="4"/>
    <n v="14000"/>
    <n v="1"/>
    <n v="0"/>
    <n v="14000"/>
    <n v="9524"/>
    <n v="4476"/>
    <n v="31.97"/>
    <x v="4"/>
    <s v="Dewi"/>
    <x v="0"/>
    <x v="0"/>
    <n v="4"/>
  </r>
  <r>
    <x v="912"/>
    <d v="2023-08-10T00:00:00"/>
    <s v="Sabtu"/>
    <x v="10"/>
    <s v="Q4"/>
    <n v="2023"/>
    <s v="Pagi (08-12)"/>
    <s v="Qtela"/>
    <x v="1"/>
    <n v="14000"/>
    <n v="3"/>
    <n v="0"/>
    <n v="42000"/>
    <n v="25100"/>
    <n v="16900"/>
    <n v="40.24"/>
    <x v="4"/>
    <s v="Siti"/>
    <x v="0"/>
    <x v="0"/>
    <n v="4"/>
  </r>
  <r>
    <x v="913"/>
    <d v="2024-07-05T00:00:00"/>
    <s v="Jumat"/>
    <x v="6"/>
    <s v="Q3"/>
    <n v="2023"/>
    <s v="Pagi (08-12)"/>
    <s v="Royco Ayam"/>
    <x v="4"/>
    <n v="5000"/>
    <n v="8"/>
    <n v="15"/>
    <n v="34000"/>
    <n v="24042"/>
    <n v="9958"/>
    <n v="29.29"/>
    <x v="0"/>
    <s v="Dewi"/>
    <x v="1"/>
    <x v="1"/>
    <n v="3"/>
  </r>
  <r>
    <x v="914"/>
    <d v="2024-10-12T00:00:00"/>
    <s v="Kamis"/>
    <x v="5"/>
    <s v="Q1"/>
    <n v="2024"/>
    <s v="Pagi (08-12)"/>
    <s v="Gula Pasir 1kg"/>
    <x v="4"/>
    <n v="16000"/>
    <n v="3"/>
    <n v="5"/>
    <n v="45600"/>
    <n v="27923"/>
    <n v="17677"/>
    <n v="38.770000000000003"/>
    <x v="3"/>
    <s v="Siti"/>
    <x v="2"/>
    <x v="1"/>
    <n v="5"/>
  </r>
  <r>
    <x v="915"/>
    <d v="2024-04-10T00:00:00"/>
    <s v="Jumat"/>
    <x v="1"/>
    <s v="Q2"/>
    <n v="2024"/>
    <s v="Siang (12-16)"/>
    <s v="Sabun Lifebuoy"/>
    <x v="2"/>
    <n v="8000"/>
    <n v="10"/>
    <n v="15"/>
    <n v="68000"/>
    <n v="38060"/>
    <n v="29940"/>
    <n v="44.03"/>
    <x v="1"/>
    <s v="Dewi"/>
    <x v="0"/>
    <x v="0"/>
    <n v="3"/>
  </r>
  <r>
    <x v="916"/>
    <d v="2024-05-24T00:00:00"/>
    <s v="Sabtu"/>
    <x v="2"/>
    <s v="Q1"/>
    <n v="2024"/>
    <s v="Sore (16-20)"/>
    <s v="Cheetos"/>
    <x v="1"/>
    <n v="11000"/>
    <n v="7"/>
    <n v="20"/>
    <n v="61600"/>
    <n v="34644"/>
    <n v="26956"/>
    <n v="43.76"/>
    <x v="2"/>
    <s v="Agus"/>
    <x v="0"/>
    <x v="1"/>
    <n v="4"/>
  </r>
  <r>
    <x v="917"/>
    <d v="2023-01-30T00:00:00"/>
    <s v="Sabtu"/>
    <x v="0"/>
    <s v="Q4"/>
    <n v="2024"/>
    <s v="Siang (12-16)"/>
    <s v="Hand Sanitizer"/>
    <x v="3"/>
    <n v="12000"/>
    <n v="2"/>
    <n v="0"/>
    <n v="24000"/>
    <n v="13936"/>
    <n v="10064"/>
    <n v="41.93"/>
    <x v="0"/>
    <s v="Agus"/>
    <x v="1"/>
    <x v="1"/>
    <n v="3"/>
  </r>
  <r>
    <x v="918"/>
    <d v="2024-05-27T00:00:00"/>
    <s v="Rabu"/>
    <x v="3"/>
    <s v="Q1"/>
    <n v="2023"/>
    <s v="Malam (20-22)"/>
    <s v="Pasta Gigi Pepsodent"/>
    <x v="2"/>
    <n v="12000"/>
    <n v="10"/>
    <n v="5"/>
    <n v="114000"/>
    <n v="66821"/>
    <n v="47179"/>
    <n v="41.39"/>
    <x v="2"/>
    <s v="Rina"/>
    <x v="2"/>
    <x v="0"/>
    <n v="5"/>
  </r>
  <r>
    <x v="919"/>
    <d v="2023-01-14T00:00:00"/>
    <s v="Jumat"/>
    <x v="7"/>
    <s v="Q2"/>
    <n v="2023"/>
    <s v="Sore (16-20)"/>
    <s v="Saos Sambal"/>
    <x v="4"/>
    <n v="10000"/>
    <n v="4"/>
    <n v="0"/>
    <n v="40000"/>
    <n v="25864"/>
    <n v="14136"/>
    <n v="35.340000000000003"/>
    <x v="3"/>
    <s v="Agus"/>
    <x v="0"/>
    <x v="1"/>
    <n v="4"/>
  </r>
  <r>
    <x v="920"/>
    <d v="2023-09-13T00:00:00"/>
    <s v="Senin"/>
    <x v="9"/>
    <s v="Q3"/>
    <n v="2023"/>
    <s v="Pagi (08-12)"/>
    <s v="Teh Botol"/>
    <x v="0"/>
    <n v="6000"/>
    <n v="1"/>
    <n v="20"/>
    <n v="4800"/>
    <n v="3198"/>
    <n v="1602"/>
    <n v="33.380000000000003"/>
    <x v="4"/>
    <s v="Siti"/>
    <x v="3"/>
    <x v="0"/>
    <n v="1"/>
  </r>
  <r>
    <x v="921"/>
    <d v="2024-06-13T00:00:00"/>
    <s v="Minggu"/>
    <x v="0"/>
    <s v="Q4"/>
    <n v="2023"/>
    <s v="Sore (16-20)"/>
    <s v="Kecap ABC"/>
    <x v="4"/>
    <n v="14000"/>
    <n v="5"/>
    <n v="20"/>
    <n v="56000"/>
    <n v="37580"/>
    <n v="18420"/>
    <n v="32.89"/>
    <x v="2"/>
    <s v="Dewi"/>
    <x v="3"/>
    <x v="0"/>
    <n v="1"/>
  </r>
  <r>
    <x v="922"/>
    <d v="2023-07-26T00:00:00"/>
    <s v="Rabu"/>
    <x v="1"/>
    <s v="Q2"/>
    <n v="2023"/>
    <s v="Siang (12-16)"/>
    <s v="Royco Ayam"/>
    <x v="4"/>
    <n v="5000"/>
    <n v="5"/>
    <n v="0"/>
    <n v="25000"/>
    <n v="14594"/>
    <n v="10406"/>
    <n v="41.62"/>
    <x v="2"/>
    <s v="Agus"/>
    <x v="1"/>
    <x v="1"/>
    <n v="3"/>
  </r>
  <r>
    <x v="923"/>
    <d v="2023-09-10T00:00:00"/>
    <s v="Selasa"/>
    <x v="8"/>
    <s v="Q4"/>
    <n v="2024"/>
    <s v="Siang (12-16)"/>
    <s v="Hand Sanitizer"/>
    <x v="3"/>
    <n v="12000"/>
    <n v="1"/>
    <n v="10"/>
    <n v="10800"/>
    <n v="7378"/>
    <n v="3422"/>
    <n v="31.69"/>
    <x v="3"/>
    <s v="Budi"/>
    <x v="0"/>
    <x v="1"/>
    <n v="3"/>
  </r>
  <r>
    <x v="924"/>
    <d v="2023-04-18T00:00:00"/>
    <s v="Minggu"/>
    <x v="2"/>
    <s v="Q1"/>
    <n v="2023"/>
    <s v="Pagi (08-12)"/>
    <s v="Indomie Goreng"/>
    <x v="1"/>
    <n v="3500"/>
    <n v="3"/>
    <n v="5"/>
    <n v="9975"/>
    <n v="6952"/>
    <n v="3023"/>
    <n v="30.31"/>
    <x v="0"/>
    <s v="Agus"/>
    <x v="2"/>
    <x v="1"/>
    <n v="2"/>
  </r>
  <r>
    <x v="925"/>
    <d v="2024-06-17T00:00:00"/>
    <s v="Jumat"/>
    <x v="0"/>
    <s v="Q4"/>
    <n v="2024"/>
    <s v="Siang (12-16)"/>
    <s v="Gula Pasir 1kg"/>
    <x v="4"/>
    <n v="16000"/>
    <n v="2"/>
    <n v="0"/>
    <n v="32000"/>
    <n v="18789"/>
    <n v="13211"/>
    <n v="41.28"/>
    <x v="1"/>
    <s v="Agus"/>
    <x v="4"/>
    <x v="1"/>
    <n v="2"/>
  </r>
  <r>
    <x v="926"/>
    <d v="2024-08-05T00:00:00"/>
    <s v="Sabtu"/>
    <x v="8"/>
    <s v="Q4"/>
    <n v="2023"/>
    <s v="Sore (16-20)"/>
    <s v="Oreo"/>
    <x v="1"/>
    <n v="10000"/>
    <n v="10"/>
    <n v="0"/>
    <n v="100000"/>
    <n v="61294"/>
    <n v="38706"/>
    <n v="38.71"/>
    <x v="4"/>
    <s v="Rina"/>
    <x v="2"/>
    <x v="0"/>
    <n v="4"/>
  </r>
  <r>
    <x v="927"/>
    <d v="2023-08-29T00:00:00"/>
    <s v="Sabtu"/>
    <x v="0"/>
    <s v="Q4"/>
    <n v="2024"/>
    <s v="Sore (16-20)"/>
    <s v="Sania Minyak Goreng"/>
    <x v="4"/>
    <n v="28000"/>
    <n v="7"/>
    <n v="0"/>
    <n v="196000"/>
    <n v="119536"/>
    <n v="76464"/>
    <n v="39.01"/>
    <x v="3"/>
    <s v="Agus"/>
    <x v="4"/>
    <x v="0"/>
    <n v="2"/>
  </r>
  <r>
    <x v="928"/>
    <d v="2023-11-19T00:00:00"/>
    <s v="Minggu"/>
    <x v="1"/>
    <s v="Q2"/>
    <n v="2024"/>
    <s v="Sore (16-20)"/>
    <s v="Royco Ayam"/>
    <x v="4"/>
    <n v="5000"/>
    <n v="3"/>
    <n v="10"/>
    <n v="13500"/>
    <n v="8790"/>
    <n v="4710"/>
    <n v="34.89"/>
    <x v="3"/>
    <s v="Agus"/>
    <x v="1"/>
    <x v="1"/>
    <n v="3"/>
  </r>
  <r>
    <x v="929"/>
    <d v="2023-04-04T00:00:00"/>
    <s v="Kamis"/>
    <x v="8"/>
    <s v="Q4"/>
    <n v="2024"/>
    <s v="Malam (20-22)"/>
    <s v="Pelembab Vaseline"/>
    <x v="3"/>
    <n v="25000"/>
    <n v="2"/>
    <n v="20"/>
    <n v="40000"/>
    <n v="27693"/>
    <n v="12307"/>
    <n v="30.77"/>
    <x v="0"/>
    <s v="Rina"/>
    <x v="4"/>
    <x v="0"/>
    <n v="4"/>
  </r>
  <r>
    <x v="930"/>
    <d v="2024-06-10T00:00:00"/>
    <s v="Senin"/>
    <x v="6"/>
    <s v="Q3"/>
    <n v="2024"/>
    <s v="Siang (12-16)"/>
    <s v="Pelembab Vaseline"/>
    <x v="3"/>
    <n v="25000"/>
    <n v="8"/>
    <n v="10"/>
    <n v="180000"/>
    <n v="116786"/>
    <n v="63214"/>
    <n v="35.119999999999997"/>
    <x v="0"/>
    <s v="Siti"/>
    <x v="1"/>
    <x v="0"/>
    <n v="4"/>
  </r>
  <r>
    <x v="931"/>
    <d v="2023-04-16T00:00:00"/>
    <s v="Kamis"/>
    <x v="4"/>
    <s v="Q3"/>
    <n v="2024"/>
    <s v="Malam (20-22)"/>
    <s v="Kecap ABC"/>
    <x v="4"/>
    <n v="14000"/>
    <n v="4"/>
    <n v="20"/>
    <n v="44800"/>
    <n v="28216"/>
    <n v="16584"/>
    <n v="37.020000000000003"/>
    <x v="0"/>
    <s v="Siti"/>
    <x v="1"/>
    <x v="1"/>
    <n v="1"/>
  </r>
  <r>
    <x v="932"/>
    <d v="2024-08-20T00:00:00"/>
    <s v="Jumat"/>
    <x v="2"/>
    <s v="Q1"/>
    <n v="2024"/>
    <s v="Siang (12-16)"/>
    <s v="Cheetos"/>
    <x v="1"/>
    <n v="11000"/>
    <n v="5"/>
    <n v="0"/>
    <n v="55000"/>
    <n v="38474"/>
    <n v="16526"/>
    <n v="30.05"/>
    <x v="4"/>
    <s v="Siti"/>
    <x v="1"/>
    <x v="0"/>
    <n v="4"/>
  </r>
  <r>
    <x v="933"/>
    <d v="2023-02-14T00:00:00"/>
    <s v="Jumat"/>
    <x v="5"/>
    <s v="Q1"/>
    <n v="2023"/>
    <s v="Sore (16-20)"/>
    <s v="Aqua 1.5L"/>
    <x v="0"/>
    <n v="5000"/>
    <n v="3"/>
    <n v="20"/>
    <n v="12000"/>
    <n v="7364"/>
    <n v="4636"/>
    <n v="38.630000000000003"/>
    <x v="3"/>
    <s v="Dewi"/>
    <x v="2"/>
    <x v="0"/>
    <n v="5"/>
  </r>
  <r>
    <x v="934"/>
    <d v="2023-12-30T00:00:00"/>
    <s v="Sabtu"/>
    <x v="3"/>
    <s v="Q1"/>
    <n v="2024"/>
    <s v="Malam (20-22)"/>
    <s v="Cheetos"/>
    <x v="1"/>
    <n v="11000"/>
    <n v="7"/>
    <n v="0"/>
    <n v="77000"/>
    <n v="50417"/>
    <n v="26583"/>
    <n v="34.520000000000003"/>
    <x v="2"/>
    <s v="Rina"/>
    <x v="4"/>
    <x v="0"/>
    <n v="4"/>
  </r>
  <r>
    <x v="935"/>
    <d v="2024-02-27T00:00:00"/>
    <s v="Selasa"/>
    <x v="7"/>
    <s v="Q2"/>
    <n v="2023"/>
    <s v="Pagi (08-12)"/>
    <s v="Royco Ayam"/>
    <x v="4"/>
    <n v="5000"/>
    <n v="9"/>
    <n v="0"/>
    <n v="45000"/>
    <n v="28096"/>
    <n v="16904"/>
    <n v="37.56"/>
    <x v="0"/>
    <s v="Budi"/>
    <x v="4"/>
    <x v="1"/>
    <n v="3"/>
  </r>
  <r>
    <x v="936"/>
    <d v="2024-01-04T00:00:00"/>
    <s v="Sabtu"/>
    <x v="4"/>
    <s v="Q3"/>
    <n v="2024"/>
    <s v="Siang (12-16)"/>
    <s v="Qtela"/>
    <x v="1"/>
    <n v="14000"/>
    <n v="4"/>
    <n v="0"/>
    <n v="56000"/>
    <n v="31688"/>
    <n v="24312"/>
    <n v="43.41"/>
    <x v="2"/>
    <s v="Rina"/>
    <x v="4"/>
    <x v="0"/>
    <n v="5"/>
  </r>
  <r>
    <x v="937"/>
    <d v="2023-11-24T00:00:00"/>
    <s v="Rabu"/>
    <x v="8"/>
    <s v="Q4"/>
    <n v="2024"/>
    <s v="Siang (12-16)"/>
    <s v="Pelembab Vaseline"/>
    <x v="3"/>
    <n v="25000"/>
    <n v="10"/>
    <n v="5"/>
    <n v="237500"/>
    <n v="131646"/>
    <n v="105854"/>
    <n v="44.57"/>
    <x v="1"/>
    <s v="Agus"/>
    <x v="2"/>
    <x v="0"/>
    <n v="2"/>
  </r>
  <r>
    <x v="938"/>
    <d v="2023-04-14T00:00:00"/>
    <s v="Rabu"/>
    <x v="10"/>
    <s v="Q4"/>
    <n v="2023"/>
    <s v="Sore (16-20)"/>
    <s v="Cheetos"/>
    <x v="1"/>
    <n v="11000"/>
    <n v="4"/>
    <n v="15"/>
    <n v="37400"/>
    <n v="25529"/>
    <n v="11871"/>
    <n v="31.74"/>
    <x v="2"/>
    <s v="Siti"/>
    <x v="0"/>
    <x v="0"/>
    <n v="2"/>
  </r>
  <r>
    <x v="939"/>
    <d v="2023-06-30T00:00:00"/>
    <s v="Jumat"/>
    <x v="0"/>
    <s v="Q4"/>
    <n v="2024"/>
    <s v="Siang (12-16)"/>
    <s v="Susu Ultra"/>
    <x v="0"/>
    <n v="9000"/>
    <n v="2"/>
    <n v="0"/>
    <n v="18000"/>
    <n v="11305"/>
    <n v="6695"/>
    <n v="37.19"/>
    <x v="3"/>
    <s v="Rina"/>
    <x v="0"/>
    <x v="1"/>
    <n v="3"/>
  </r>
  <r>
    <x v="940"/>
    <d v="2023-07-13T00:00:00"/>
    <s v="Selasa"/>
    <x v="4"/>
    <s v="Q3"/>
    <n v="2023"/>
    <s v="Malam (20-22)"/>
    <s v="Aqua 1.5L"/>
    <x v="0"/>
    <n v="5000"/>
    <n v="8"/>
    <n v="20"/>
    <n v="32000"/>
    <n v="19566"/>
    <n v="12434"/>
    <n v="38.86"/>
    <x v="1"/>
    <s v="Agus"/>
    <x v="0"/>
    <x v="0"/>
    <n v="4"/>
  </r>
  <r>
    <x v="941"/>
    <d v="2024-05-05T00:00:00"/>
    <s v="Jumat"/>
    <x v="3"/>
    <s v="Q1"/>
    <n v="2023"/>
    <s v="Siang (12-16)"/>
    <s v="Kecap ABC"/>
    <x v="4"/>
    <n v="14000"/>
    <n v="4"/>
    <n v="15"/>
    <n v="47600"/>
    <n v="29578"/>
    <n v="18022"/>
    <n v="37.86"/>
    <x v="4"/>
    <s v="Agus"/>
    <x v="3"/>
    <x v="1"/>
    <n v="1"/>
  </r>
  <r>
    <x v="942"/>
    <d v="2024-08-24T00:00:00"/>
    <s v="Minggu"/>
    <x v="4"/>
    <s v="Q3"/>
    <n v="2023"/>
    <s v="Pagi (08-12)"/>
    <s v="Kapas Kecantikan"/>
    <x v="3"/>
    <n v="8000"/>
    <n v="1"/>
    <n v="0"/>
    <n v="8000"/>
    <n v="5727"/>
    <n v="2273"/>
    <n v="28.41"/>
    <x v="4"/>
    <s v="Agus"/>
    <x v="4"/>
    <x v="0"/>
    <n v="5"/>
  </r>
  <r>
    <x v="943"/>
    <d v="2023-11-28T00:00:00"/>
    <s v="Senin"/>
    <x v="6"/>
    <s v="Q3"/>
    <n v="2023"/>
    <s v="Siang (12-16)"/>
    <s v="Teh Botol"/>
    <x v="0"/>
    <n v="6000"/>
    <n v="10"/>
    <n v="0"/>
    <n v="60000"/>
    <n v="38467"/>
    <n v="21533"/>
    <n v="35.89"/>
    <x v="3"/>
    <s v="Dewi"/>
    <x v="3"/>
    <x v="1"/>
    <n v="1"/>
  </r>
  <r>
    <x v="944"/>
    <d v="2023-06-30T00:00:00"/>
    <s v="Jumat"/>
    <x v="9"/>
    <s v="Q3"/>
    <n v="2023"/>
    <s v="Malam (20-22)"/>
    <s v="Pocari Sweat"/>
    <x v="0"/>
    <n v="8000"/>
    <n v="3"/>
    <n v="0"/>
    <n v="24000"/>
    <n v="13540"/>
    <n v="10460"/>
    <n v="43.58"/>
    <x v="1"/>
    <s v="Siti"/>
    <x v="2"/>
    <x v="0"/>
    <n v="1"/>
  </r>
  <r>
    <x v="945"/>
    <d v="2023-11-23T00:00:00"/>
    <s v="Sabtu"/>
    <x v="8"/>
    <s v="Q4"/>
    <n v="2023"/>
    <s v="Siang (12-16)"/>
    <s v="Lip Balm Nivea"/>
    <x v="3"/>
    <n v="18000"/>
    <n v="8"/>
    <n v="15"/>
    <n v="122400"/>
    <n v="84154"/>
    <n v="38246"/>
    <n v="31.25"/>
    <x v="2"/>
    <s v="Dewi"/>
    <x v="1"/>
    <x v="1"/>
    <n v="2"/>
  </r>
  <r>
    <x v="946"/>
    <d v="2023-06-22T00:00:00"/>
    <s v="Sabtu"/>
    <x v="4"/>
    <s v="Q3"/>
    <n v="2023"/>
    <s v="Siang (12-16)"/>
    <s v="Deterjen Rinso"/>
    <x v="2"/>
    <n v="22000"/>
    <n v="2"/>
    <n v="10"/>
    <n v="39600"/>
    <n v="27120"/>
    <n v="12480"/>
    <n v="31.52"/>
    <x v="3"/>
    <s v="Siti"/>
    <x v="3"/>
    <x v="1"/>
    <n v="4"/>
  </r>
  <r>
    <x v="947"/>
    <d v="2023-02-20T00:00:00"/>
    <s v="Senin"/>
    <x v="1"/>
    <s v="Q2"/>
    <n v="2024"/>
    <s v="Malam (20-22)"/>
    <s v="Gula Pasir 1kg"/>
    <x v="4"/>
    <n v="16000"/>
    <n v="5"/>
    <n v="20"/>
    <n v="64000"/>
    <n v="38668"/>
    <n v="25332"/>
    <n v="39.58"/>
    <x v="0"/>
    <s v="Dewi"/>
    <x v="1"/>
    <x v="0"/>
    <n v="5"/>
  </r>
  <r>
    <x v="948"/>
    <d v="2024-08-15T00:00:00"/>
    <s v="Kamis"/>
    <x v="8"/>
    <s v="Q4"/>
    <n v="2023"/>
    <s v="Malam (20-22)"/>
    <s v="Sabun Lifebuoy"/>
    <x v="2"/>
    <n v="8000"/>
    <n v="8"/>
    <n v="0"/>
    <n v="64000"/>
    <n v="44877"/>
    <n v="19123"/>
    <n v="29.88"/>
    <x v="3"/>
    <s v="Siti"/>
    <x v="4"/>
    <x v="1"/>
    <n v="5"/>
  </r>
  <r>
    <x v="949"/>
    <d v="2023-03-18T00:00:00"/>
    <s v="Selasa"/>
    <x v="0"/>
    <s v="Q4"/>
    <n v="2024"/>
    <s v="Sore (16-20)"/>
    <s v="Lip Balm Nivea"/>
    <x v="3"/>
    <n v="18000"/>
    <n v="7"/>
    <n v="0"/>
    <n v="126000"/>
    <n v="71756"/>
    <n v="54244"/>
    <n v="43.05"/>
    <x v="4"/>
    <s v="Agus"/>
    <x v="3"/>
    <x v="0"/>
    <n v="1"/>
  </r>
  <r>
    <x v="950"/>
    <d v="2024-10-03T00:00:00"/>
    <s v="Rabu"/>
    <x v="9"/>
    <s v="Q3"/>
    <n v="2023"/>
    <s v="Sore (16-20)"/>
    <s v="Pasta Gigi Pepsodent"/>
    <x v="2"/>
    <n v="12000"/>
    <n v="3"/>
    <n v="20"/>
    <n v="28800"/>
    <n v="17380"/>
    <n v="11420"/>
    <n v="39.65"/>
    <x v="0"/>
    <s v="Siti"/>
    <x v="0"/>
    <x v="0"/>
    <n v="4"/>
  </r>
  <r>
    <x v="951"/>
    <d v="2023-11-02T00:00:00"/>
    <s v="Minggu"/>
    <x v="9"/>
    <s v="Q3"/>
    <n v="2024"/>
    <s v="Siang (12-16)"/>
    <s v="Shampo Sunsilk"/>
    <x v="2"/>
    <n v="15000"/>
    <n v="9"/>
    <n v="0"/>
    <n v="135000"/>
    <n v="83099"/>
    <n v="51901"/>
    <n v="38.450000000000003"/>
    <x v="3"/>
    <s v="Budi"/>
    <x v="4"/>
    <x v="0"/>
    <n v="5"/>
  </r>
  <r>
    <x v="952"/>
    <d v="2023-03-03T00:00:00"/>
    <s v="Kamis"/>
    <x v="0"/>
    <s v="Q4"/>
    <n v="2023"/>
    <s v="Siang (12-16)"/>
    <s v="Pelembab Vaseline"/>
    <x v="3"/>
    <n v="25000"/>
    <n v="10"/>
    <n v="15"/>
    <n v="212500"/>
    <n v="132111"/>
    <n v="80389"/>
    <n v="37.83"/>
    <x v="2"/>
    <s v="Siti"/>
    <x v="2"/>
    <x v="0"/>
    <n v="1"/>
  </r>
  <r>
    <x v="953"/>
    <d v="2023-11-13T00:00:00"/>
    <s v="Senin"/>
    <x v="11"/>
    <s v="Q2"/>
    <n v="2024"/>
    <s v="Sore (16-20)"/>
    <s v="Kecap ABC"/>
    <x v="4"/>
    <n v="14000"/>
    <n v="5"/>
    <n v="5"/>
    <n v="66500"/>
    <n v="37923"/>
    <n v="28577"/>
    <n v="42.97"/>
    <x v="2"/>
    <s v="Budi"/>
    <x v="4"/>
    <x v="1"/>
    <n v="2"/>
  </r>
  <r>
    <x v="954"/>
    <d v="2023-07-12T00:00:00"/>
    <s v="Selasa"/>
    <x v="9"/>
    <s v="Q3"/>
    <n v="2024"/>
    <s v="Sore (16-20)"/>
    <s v="Pocari Sweat"/>
    <x v="0"/>
    <n v="8000"/>
    <n v="1"/>
    <n v="15"/>
    <n v="6800"/>
    <n v="4646"/>
    <n v="2154"/>
    <n v="31.68"/>
    <x v="3"/>
    <s v="Rina"/>
    <x v="1"/>
    <x v="0"/>
    <n v="4"/>
  </r>
  <r>
    <x v="955"/>
    <d v="2023-03-30T00:00:00"/>
    <s v="Selasa"/>
    <x v="5"/>
    <s v="Q1"/>
    <n v="2023"/>
    <s v="Malam (20-22)"/>
    <s v="Kapas Kecantikan"/>
    <x v="3"/>
    <n v="8000"/>
    <n v="1"/>
    <n v="0"/>
    <n v="8000"/>
    <n v="5277"/>
    <n v="2723"/>
    <n v="34.04"/>
    <x v="0"/>
    <s v="Agus"/>
    <x v="0"/>
    <x v="1"/>
    <n v="3"/>
  </r>
  <r>
    <x v="956"/>
    <d v="2023-08-31T00:00:00"/>
    <s v="Selasa"/>
    <x v="10"/>
    <s v="Q4"/>
    <n v="2023"/>
    <s v="Malam (20-22)"/>
    <s v="Deterjen Rinso"/>
    <x v="2"/>
    <n v="22000"/>
    <n v="2"/>
    <n v="10"/>
    <n v="39600"/>
    <n v="26995"/>
    <n v="12605"/>
    <n v="31.83"/>
    <x v="2"/>
    <s v="Dewi"/>
    <x v="0"/>
    <x v="1"/>
    <n v="4"/>
  </r>
  <r>
    <x v="957"/>
    <d v="2023-06-28T00:00:00"/>
    <s v="Senin"/>
    <x v="11"/>
    <s v="Q2"/>
    <n v="2024"/>
    <s v="Pagi (08-12)"/>
    <s v="Pocari Sweat"/>
    <x v="0"/>
    <n v="8000"/>
    <n v="10"/>
    <n v="0"/>
    <n v="80000"/>
    <n v="44398"/>
    <n v="35602"/>
    <n v="44.5"/>
    <x v="0"/>
    <s v="Rina"/>
    <x v="3"/>
    <x v="1"/>
    <n v="4"/>
  </r>
  <r>
    <x v="958"/>
    <d v="2023-03-11T00:00:00"/>
    <s v="Minggu"/>
    <x v="9"/>
    <s v="Q3"/>
    <n v="2023"/>
    <s v="Pagi (08-12)"/>
    <s v="Chitato"/>
    <x v="1"/>
    <n v="12000"/>
    <n v="4"/>
    <n v="15"/>
    <n v="40800"/>
    <n v="28698"/>
    <n v="12102"/>
    <n v="29.66"/>
    <x v="4"/>
    <s v="Dewi"/>
    <x v="0"/>
    <x v="1"/>
    <n v="1"/>
  </r>
  <r>
    <x v="959"/>
    <d v="2024-02-12T00:00:00"/>
    <s v="Senin"/>
    <x v="1"/>
    <s v="Q2"/>
    <n v="2023"/>
    <s v="Siang (12-16)"/>
    <s v="Pocari Sweat"/>
    <x v="0"/>
    <n v="8000"/>
    <n v="2"/>
    <n v="0"/>
    <n v="16000"/>
    <n v="9696"/>
    <n v="6304"/>
    <n v="39.4"/>
    <x v="3"/>
    <s v="Agus"/>
    <x v="2"/>
    <x v="0"/>
    <n v="5"/>
  </r>
  <r>
    <x v="960"/>
    <d v="2023-12-20T00:00:00"/>
    <s v="Selasa"/>
    <x v="1"/>
    <s v="Q2"/>
    <n v="2024"/>
    <s v="Pagi (08-12)"/>
    <s v="Teh Botol"/>
    <x v="0"/>
    <n v="6000"/>
    <n v="6"/>
    <n v="20"/>
    <n v="28800"/>
    <n v="16565"/>
    <n v="12235"/>
    <n v="42.48"/>
    <x v="3"/>
    <s v="Agus"/>
    <x v="1"/>
    <x v="0"/>
    <n v="5"/>
  </r>
  <r>
    <x v="961"/>
    <d v="2023-05-29T00:00:00"/>
    <s v="Sabtu"/>
    <x v="11"/>
    <s v="Q2"/>
    <n v="2024"/>
    <s v="Sore (16-20)"/>
    <s v="Royco Ayam"/>
    <x v="4"/>
    <n v="5000"/>
    <n v="6"/>
    <n v="20"/>
    <n v="24000"/>
    <n v="16182"/>
    <n v="7818"/>
    <n v="32.57"/>
    <x v="1"/>
    <s v="Rina"/>
    <x v="2"/>
    <x v="0"/>
    <n v="3"/>
  </r>
  <r>
    <x v="962"/>
    <d v="2023-01-22T00:00:00"/>
    <s v="Kamis"/>
    <x v="4"/>
    <s v="Q3"/>
    <n v="2024"/>
    <s v="Siang (12-16)"/>
    <s v="Oreo"/>
    <x v="1"/>
    <n v="10000"/>
    <n v="2"/>
    <n v="0"/>
    <n v="20000"/>
    <n v="14304"/>
    <n v="5696"/>
    <n v="28.48"/>
    <x v="0"/>
    <s v="Budi"/>
    <x v="0"/>
    <x v="1"/>
    <n v="4"/>
  </r>
  <r>
    <x v="963"/>
    <d v="2023-10-04T00:00:00"/>
    <s v="Rabu"/>
    <x v="4"/>
    <s v="Q3"/>
    <n v="2023"/>
    <s v="Sore (16-20)"/>
    <s v="Kecap ABC"/>
    <x v="4"/>
    <n v="14000"/>
    <n v="6"/>
    <n v="0"/>
    <n v="84000"/>
    <n v="57824"/>
    <n v="26176"/>
    <n v="31.16"/>
    <x v="3"/>
    <s v="Dewi"/>
    <x v="2"/>
    <x v="1"/>
    <n v="2"/>
  </r>
  <r>
    <x v="964"/>
    <d v="2023-06-13T00:00:00"/>
    <s v="Jumat"/>
    <x v="11"/>
    <s v="Q2"/>
    <n v="2024"/>
    <s v="Siang (12-16)"/>
    <s v="Teh Botol"/>
    <x v="0"/>
    <n v="6000"/>
    <n v="4"/>
    <n v="0"/>
    <n v="24000"/>
    <n v="14773"/>
    <n v="9227"/>
    <n v="38.450000000000003"/>
    <x v="2"/>
    <s v="Dewi"/>
    <x v="4"/>
    <x v="1"/>
    <n v="2"/>
  </r>
  <r>
    <x v="965"/>
    <d v="2023-03-02T00:00:00"/>
    <s v="Minggu"/>
    <x v="3"/>
    <s v="Q1"/>
    <n v="2023"/>
    <s v="Malam (20-22)"/>
    <s v="Deterjen Rinso"/>
    <x v="2"/>
    <n v="22000"/>
    <n v="3"/>
    <n v="15"/>
    <n v="56100"/>
    <n v="33784"/>
    <n v="22316"/>
    <n v="39.78"/>
    <x v="3"/>
    <s v="Rina"/>
    <x v="3"/>
    <x v="0"/>
    <n v="1"/>
  </r>
  <r>
    <x v="966"/>
    <d v="2024-11-29T00:00:00"/>
    <s v="Senin"/>
    <x v="6"/>
    <s v="Q3"/>
    <n v="2023"/>
    <s v="Sore (16-20)"/>
    <s v="Kopi Kapal Api"/>
    <x v="0"/>
    <n v="12000"/>
    <n v="3"/>
    <n v="0"/>
    <n v="36000"/>
    <n v="19975"/>
    <n v="16025"/>
    <n v="44.51"/>
    <x v="3"/>
    <s v="Agus"/>
    <x v="2"/>
    <x v="0"/>
    <n v="5"/>
  </r>
  <r>
    <x v="967"/>
    <d v="2023-09-23T00:00:00"/>
    <s v="Selasa"/>
    <x v="3"/>
    <s v="Q1"/>
    <n v="2023"/>
    <s v="Pagi (08-12)"/>
    <s v="Deterjen Rinso"/>
    <x v="2"/>
    <n v="22000"/>
    <n v="4"/>
    <n v="0"/>
    <n v="88000"/>
    <n v="54338"/>
    <n v="33662"/>
    <n v="38.25"/>
    <x v="2"/>
    <s v="Dewi"/>
    <x v="2"/>
    <x v="1"/>
    <n v="3"/>
  </r>
  <r>
    <x v="968"/>
    <d v="2024-10-30T00:00:00"/>
    <s v="Minggu"/>
    <x v="2"/>
    <s v="Q1"/>
    <n v="2024"/>
    <s v="Malam (20-22)"/>
    <s v="Aqua 1.5L"/>
    <x v="0"/>
    <n v="5000"/>
    <n v="7"/>
    <n v="15"/>
    <n v="29750"/>
    <n v="21056"/>
    <n v="8694"/>
    <n v="29.22"/>
    <x v="1"/>
    <s v="Siti"/>
    <x v="3"/>
    <x v="0"/>
    <n v="5"/>
  </r>
  <r>
    <x v="969"/>
    <d v="2023-09-17T00:00:00"/>
    <s v="Selasa"/>
    <x v="0"/>
    <s v="Q4"/>
    <n v="2023"/>
    <s v="Siang (12-16)"/>
    <s v="Kapas Kecantikan"/>
    <x v="3"/>
    <n v="8000"/>
    <n v="8"/>
    <n v="10"/>
    <n v="57600"/>
    <n v="35925"/>
    <n v="21675"/>
    <n v="37.630000000000003"/>
    <x v="0"/>
    <s v="Budi"/>
    <x v="0"/>
    <x v="0"/>
    <n v="1"/>
  </r>
  <r>
    <x v="970"/>
    <d v="2024-11-25T00:00:00"/>
    <s v="Senin"/>
    <x v="5"/>
    <s v="Q1"/>
    <n v="2023"/>
    <s v="Malam (20-22)"/>
    <s v="Lip Balm Nivea"/>
    <x v="3"/>
    <n v="18000"/>
    <n v="4"/>
    <n v="0"/>
    <n v="72000"/>
    <n v="46113"/>
    <n v="25887"/>
    <n v="35.950000000000003"/>
    <x v="4"/>
    <s v="Budi"/>
    <x v="4"/>
    <x v="1"/>
    <n v="4"/>
  </r>
  <r>
    <x v="971"/>
    <d v="2024-05-09T00:00:00"/>
    <s v="Jumat"/>
    <x v="1"/>
    <s v="Q2"/>
    <n v="2023"/>
    <s v="Sore (16-20)"/>
    <s v="Qtela"/>
    <x v="1"/>
    <n v="14000"/>
    <n v="8"/>
    <n v="0"/>
    <n v="112000"/>
    <n v="64856"/>
    <n v="47144"/>
    <n v="42.09"/>
    <x v="1"/>
    <s v="Siti"/>
    <x v="2"/>
    <x v="0"/>
    <n v="1"/>
  </r>
  <r>
    <x v="972"/>
    <d v="2023-09-05T00:00:00"/>
    <s v="Minggu"/>
    <x v="4"/>
    <s v="Q3"/>
    <n v="2023"/>
    <s v="Pagi (08-12)"/>
    <s v="Kapas Kecantikan"/>
    <x v="3"/>
    <n v="8000"/>
    <n v="8"/>
    <n v="15"/>
    <n v="54400"/>
    <n v="32744"/>
    <n v="21656"/>
    <n v="39.81"/>
    <x v="1"/>
    <s v="Budi"/>
    <x v="2"/>
    <x v="0"/>
    <n v="2"/>
  </r>
  <r>
    <x v="973"/>
    <d v="2024-02-20T00:00:00"/>
    <s v="Kamis"/>
    <x v="8"/>
    <s v="Q4"/>
    <n v="2023"/>
    <s v="Sore (16-20)"/>
    <s v="Saos Sambal"/>
    <x v="4"/>
    <n v="10000"/>
    <n v="1"/>
    <n v="15"/>
    <n v="8500"/>
    <n v="5361"/>
    <n v="3139"/>
    <n v="36.93"/>
    <x v="4"/>
    <s v="Rina"/>
    <x v="3"/>
    <x v="0"/>
    <n v="2"/>
  </r>
  <r>
    <x v="974"/>
    <d v="2023-11-05T00:00:00"/>
    <s v="Selasa"/>
    <x v="10"/>
    <s v="Q4"/>
    <n v="2024"/>
    <s v="Pagi (08-12)"/>
    <s v="Susu Ultra"/>
    <x v="0"/>
    <n v="9000"/>
    <n v="6"/>
    <n v="5"/>
    <n v="51300"/>
    <n v="33301"/>
    <n v="17999"/>
    <n v="35.090000000000003"/>
    <x v="2"/>
    <s v="Budi"/>
    <x v="1"/>
    <x v="0"/>
    <n v="1"/>
  </r>
  <r>
    <x v="975"/>
    <d v="2023-08-17T00:00:00"/>
    <s v="Sabtu"/>
    <x v="9"/>
    <s v="Q3"/>
    <n v="2024"/>
    <s v="Sore (16-20)"/>
    <s v="Shampo Sunsilk"/>
    <x v="2"/>
    <n v="15000"/>
    <n v="9"/>
    <n v="10"/>
    <n v="121500"/>
    <n v="70281"/>
    <n v="51219"/>
    <n v="42.16"/>
    <x v="1"/>
    <s v="Rina"/>
    <x v="0"/>
    <x v="1"/>
    <n v="4"/>
  </r>
  <r>
    <x v="976"/>
    <d v="2024-04-27T00:00:00"/>
    <s v="Jumat"/>
    <x v="11"/>
    <s v="Q2"/>
    <n v="2024"/>
    <s v="Sore (16-20)"/>
    <s v="Softex"/>
    <x v="2"/>
    <n v="18000"/>
    <n v="5"/>
    <n v="15"/>
    <n v="76500"/>
    <n v="48402"/>
    <n v="28098"/>
    <n v="36.729999999999997"/>
    <x v="4"/>
    <s v="Agus"/>
    <x v="0"/>
    <x v="1"/>
    <n v="3"/>
  </r>
  <r>
    <x v="977"/>
    <d v="2023-02-26T00:00:00"/>
    <s v="Jumat"/>
    <x v="7"/>
    <s v="Q2"/>
    <n v="2024"/>
    <s v="Siang (12-16)"/>
    <s v="Hand Sanitizer"/>
    <x v="3"/>
    <n v="12000"/>
    <n v="2"/>
    <n v="0"/>
    <n v="24000"/>
    <n v="15998"/>
    <n v="8002"/>
    <n v="33.340000000000003"/>
    <x v="0"/>
    <s v="Budi"/>
    <x v="1"/>
    <x v="0"/>
    <n v="3"/>
  </r>
  <r>
    <x v="978"/>
    <d v="2024-05-15T00:00:00"/>
    <s v="Jumat"/>
    <x v="11"/>
    <s v="Q2"/>
    <n v="2024"/>
    <s v="Pagi (08-12)"/>
    <s v="Teh Botol"/>
    <x v="0"/>
    <n v="6000"/>
    <n v="10"/>
    <n v="15"/>
    <n v="51000"/>
    <n v="34083"/>
    <n v="16917"/>
    <n v="33.17"/>
    <x v="2"/>
    <s v="Siti"/>
    <x v="3"/>
    <x v="0"/>
    <n v="4"/>
  </r>
  <r>
    <x v="979"/>
    <d v="2023-04-02T00:00:00"/>
    <s v="Rabu"/>
    <x v="0"/>
    <s v="Q4"/>
    <n v="2024"/>
    <s v="Sore (16-20)"/>
    <s v="Pocari Sweat"/>
    <x v="0"/>
    <n v="8000"/>
    <n v="9"/>
    <n v="5"/>
    <n v="68400"/>
    <n v="49101"/>
    <n v="19299"/>
    <n v="28.21"/>
    <x v="3"/>
    <s v="Budi"/>
    <x v="2"/>
    <x v="1"/>
    <n v="4"/>
  </r>
  <r>
    <x v="980"/>
    <d v="2023-07-25T00:00:00"/>
    <s v="Senin"/>
    <x v="9"/>
    <s v="Q3"/>
    <n v="2024"/>
    <s v="Pagi (08-12)"/>
    <s v="Royco Ayam"/>
    <x v="4"/>
    <n v="5000"/>
    <n v="5"/>
    <n v="0"/>
    <n v="25000"/>
    <n v="13925"/>
    <n v="11075"/>
    <n v="44.3"/>
    <x v="3"/>
    <s v="Siti"/>
    <x v="4"/>
    <x v="1"/>
    <n v="4"/>
  </r>
  <r>
    <x v="981"/>
    <d v="2023-11-17T00:00:00"/>
    <s v="Sabtu"/>
    <x v="9"/>
    <s v="Q3"/>
    <n v="2024"/>
    <s v="Sore (16-20)"/>
    <s v="Pasta Gigi Pepsodent"/>
    <x v="2"/>
    <n v="12000"/>
    <n v="2"/>
    <n v="0"/>
    <n v="24000"/>
    <n v="15236"/>
    <n v="8764"/>
    <n v="36.520000000000003"/>
    <x v="1"/>
    <s v="Agus"/>
    <x v="3"/>
    <x v="0"/>
    <n v="3"/>
  </r>
  <r>
    <x v="982"/>
    <d v="2024-06-17T00:00:00"/>
    <s v="Senin"/>
    <x v="11"/>
    <s v="Q2"/>
    <n v="2024"/>
    <s v="Pagi (08-12)"/>
    <s v="Sabun Lifebuoy"/>
    <x v="2"/>
    <n v="8000"/>
    <n v="5"/>
    <n v="0"/>
    <n v="40000"/>
    <n v="25086"/>
    <n v="14914"/>
    <n v="37.29"/>
    <x v="1"/>
    <s v="Siti"/>
    <x v="4"/>
    <x v="0"/>
    <n v="4"/>
  </r>
  <r>
    <x v="983"/>
    <d v="2024-02-19T00:00:00"/>
    <s v="Jumat"/>
    <x v="10"/>
    <s v="Q4"/>
    <n v="2023"/>
    <s v="Sore (16-20)"/>
    <s v="Kopi Kapal Api"/>
    <x v="0"/>
    <n v="12000"/>
    <n v="6"/>
    <n v="15"/>
    <n v="61200"/>
    <n v="42338"/>
    <n v="18862"/>
    <n v="30.82"/>
    <x v="0"/>
    <s v="Siti"/>
    <x v="3"/>
    <x v="1"/>
    <n v="5"/>
  </r>
  <r>
    <x v="984"/>
    <d v="2024-12-15T00:00:00"/>
    <s v="Selasa"/>
    <x v="10"/>
    <s v="Q4"/>
    <n v="2024"/>
    <s v="Pagi (08-12)"/>
    <s v="Deodorant Rexona"/>
    <x v="3"/>
    <n v="20000"/>
    <n v="2"/>
    <n v="15"/>
    <n v="34000"/>
    <n v="20264"/>
    <n v="13736"/>
    <n v="40.4"/>
    <x v="1"/>
    <s v="Agus"/>
    <x v="4"/>
    <x v="1"/>
    <n v="2"/>
  </r>
  <r>
    <x v="985"/>
    <d v="2024-12-30T00:00:00"/>
    <s v="Kamis"/>
    <x v="5"/>
    <s v="Q1"/>
    <n v="2023"/>
    <s v="Pagi (08-12)"/>
    <s v="Royco Ayam"/>
    <x v="4"/>
    <n v="5000"/>
    <n v="4"/>
    <n v="20"/>
    <n v="16000"/>
    <n v="10646"/>
    <n v="5354"/>
    <n v="33.46"/>
    <x v="2"/>
    <s v="Agus"/>
    <x v="1"/>
    <x v="1"/>
    <n v="3"/>
  </r>
  <r>
    <x v="986"/>
    <d v="2024-03-07T00:00:00"/>
    <s v="Selasa"/>
    <x v="6"/>
    <s v="Q3"/>
    <n v="2024"/>
    <s v="Siang (12-16)"/>
    <s v="Shampo Sunsilk"/>
    <x v="2"/>
    <n v="15000"/>
    <n v="10"/>
    <n v="5"/>
    <n v="142500"/>
    <n v="94822"/>
    <n v="47678"/>
    <n v="33.46"/>
    <x v="4"/>
    <s v="Dewi"/>
    <x v="3"/>
    <x v="1"/>
    <n v="2"/>
  </r>
  <r>
    <x v="987"/>
    <d v="2023-04-20T00:00:00"/>
    <s v="Sabtu"/>
    <x v="3"/>
    <s v="Q1"/>
    <n v="2024"/>
    <s v="Siang (12-16)"/>
    <s v="Deodorant Rexona"/>
    <x v="3"/>
    <n v="20000"/>
    <n v="5"/>
    <n v="0"/>
    <n v="100000"/>
    <n v="56455"/>
    <n v="43545"/>
    <n v="43.55"/>
    <x v="3"/>
    <s v="Agus"/>
    <x v="4"/>
    <x v="1"/>
    <n v="4"/>
  </r>
  <r>
    <x v="988"/>
    <d v="2023-02-11T00:00:00"/>
    <s v="Minggu"/>
    <x v="1"/>
    <s v="Q2"/>
    <n v="2023"/>
    <s v="Malam (20-22)"/>
    <s v="Cheetos"/>
    <x v="1"/>
    <n v="11000"/>
    <n v="8"/>
    <n v="15"/>
    <n v="74800"/>
    <n v="45123"/>
    <n v="29677"/>
    <n v="39.68"/>
    <x v="4"/>
    <s v="Agus"/>
    <x v="2"/>
    <x v="1"/>
    <n v="4"/>
  </r>
  <r>
    <x v="989"/>
    <d v="2024-08-11T00:00:00"/>
    <s v="Minggu"/>
    <x v="5"/>
    <s v="Q1"/>
    <n v="2024"/>
    <s v="Sore (16-20)"/>
    <s v="Kecap ABC"/>
    <x v="4"/>
    <n v="14000"/>
    <n v="9"/>
    <n v="0"/>
    <n v="126000"/>
    <n v="89809"/>
    <n v="36191"/>
    <n v="28.72"/>
    <x v="2"/>
    <s v="Rina"/>
    <x v="3"/>
    <x v="0"/>
    <n v="5"/>
  </r>
  <r>
    <x v="990"/>
    <d v="2024-04-21T00:00:00"/>
    <s v="Sabtu"/>
    <x v="7"/>
    <s v="Q2"/>
    <n v="2024"/>
    <s v="Siang (12-16)"/>
    <s v="Shampo Sunsilk"/>
    <x v="2"/>
    <n v="15000"/>
    <n v="10"/>
    <n v="10"/>
    <n v="135000"/>
    <n v="94903"/>
    <n v="40097"/>
    <n v="29.7"/>
    <x v="4"/>
    <s v="Rina"/>
    <x v="1"/>
    <x v="1"/>
    <n v="1"/>
  </r>
  <r>
    <x v="991"/>
    <d v="2023-02-17T00:00:00"/>
    <s v="Kamis"/>
    <x v="1"/>
    <s v="Q2"/>
    <n v="2024"/>
    <s v="Pagi (08-12)"/>
    <s v="Hand Sanitizer"/>
    <x v="3"/>
    <n v="12000"/>
    <n v="1"/>
    <n v="0"/>
    <n v="12000"/>
    <n v="6712"/>
    <n v="5288"/>
    <n v="44.07"/>
    <x v="0"/>
    <s v="Siti"/>
    <x v="4"/>
    <x v="1"/>
    <n v="5"/>
  </r>
  <r>
    <x v="992"/>
    <d v="2023-07-08T00:00:00"/>
    <s v="Rabu"/>
    <x v="11"/>
    <s v="Q2"/>
    <n v="2024"/>
    <s v="Siang (12-16)"/>
    <s v="Sabun Lifebuoy"/>
    <x v="2"/>
    <n v="8000"/>
    <n v="2"/>
    <n v="15"/>
    <n v="13600"/>
    <n v="8832"/>
    <n v="4768"/>
    <n v="35.06"/>
    <x v="3"/>
    <s v="Rina"/>
    <x v="3"/>
    <x v="1"/>
    <n v="2"/>
  </r>
  <r>
    <x v="993"/>
    <d v="2024-12-14T00:00:00"/>
    <s v="Kamis"/>
    <x v="9"/>
    <s v="Q3"/>
    <n v="2023"/>
    <s v="Siang (12-16)"/>
    <s v="Qtela"/>
    <x v="1"/>
    <n v="14000"/>
    <n v="5"/>
    <n v="15"/>
    <n v="59500"/>
    <n v="42730"/>
    <n v="16770"/>
    <n v="28.18"/>
    <x v="0"/>
    <s v="Agus"/>
    <x v="4"/>
    <x v="0"/>
    <n v="1"/>
  </r>
  <r>
    <x v="994"/>
    <d v="2024-09-19T00:00:00"/>
    <s v="Minggu"/>
    <x v="2"/>
    <s v="Q1"/>
    <n v="2023"/>
    <s v="Pagi (08-12)"/>
    <s v="Cheetos"/>
    <x v="1"/>
    <n v="11000"/>
    <n v="2"/>
    <n v="10"/>
    <n v="19800"/>
    <n v="11216"/>
    <n v="8584"/>
    <n v="43.35"/>
    <x v="1"/>
    <s v="Rina"/>
    <x v="1"/>
    <x v="1"/>
    <n v="4"/>
  </r>
  <r>
    <x v="995"/>
    <d v="2023-01-14T00:00:00"/>
    <s v="Minggu"/>
    <x v="5"/>
    <s v="Q1"/>
    <n v="2023"/>
    <s v="Malam (20-22)"/>
    <s v="Pocari Sweat"/>
    <x v="0"/>
    <n v="8000"/>
    <n v="7"/>
    <n v="5"/>
    <n v="53200"/>
    <n v="38148"/>
    <n v="15052"/>
    <n v="28.29"/>
    <x v="1"/>
    <s v="Dewi"/>
    <x v="2"/>
    <x v="0"/>
    <n v="4"/>
  </r>
  <r>
    <x v="996"/>
    <d v="2024-05-09T00:00:00"/>
    <s v="Selasa"/>
    <x v="11"/>
    <s v="Q2"/>
    <n v="2023"/>
    <s v="Siang (12-16)"/>
    <s v="Teh Botol"/>
    <x v="0"/>
    <n v="6000"/>
    <n v="3"/>
    <n v="20"/>
    <n v="14400"/>
    <n v="9743"/>
    <n v="4657"/>
    <n v="32.340000000000003"/>
    <x v="1"/>
    <s v="Budi"/>
    <x v="4"/>
    <x v="1"/>
    <n v="4"/>
  </r>
  <r>
    <x v="997"/>
    <d v="2023-06-20T00:00:00"/>
    <s v="Selasa"/>
    <x v="0"/>
    <s v="Q4"/>
    <n v="2023"/>
    <s v="Pagi (08-12)"/>
    <s v="Sabun Lifebuoy"/>
    <x v="2"/>
    <n v="8000"/>
    <n v="10"/>
    <n v="5"/>
    <n v="76000"/>
    <n v="46546"/>
    <n v="29454"/>
    <n v="38.76"/>
    <x v="4"/>
    <s v="Agus"/>
    <x v="1"/>
    <x v="1"/>
    <n v="4"/>
  </r>
  <r>
    <x v="998"/>
    <d v="2023-08-30T00:00:00"/>
    <s v="Senin"/>
    <x v="3"/>
    <s v="Q1"/>
    <n v="2024"/>
    <s v="Sore (16-20)"/>
    <s v="Chitato"/>
    <x v="1"/>
    <n v="12000"/>
    <n v="5"/>
    <n v="5"/>
    <n v="57000"/>
    <n v="32514"/>
    <n v="24486"/>
    <n v="42.96"/>
    <x v="2"/>
    <s v="Rina"/>
    <x v="4"/>
    <x v="0"/>
    <n v="5"/>
  </r>
  <r>
    <x v="999"/>
    <d v="2024-10-29T00:00:00"/>
    <s v="Minggu"/>
    <x v="3"/>
    <s v="Q1"/>
    <n v="2024"/>
    <s v="Siang (12-16)"/>
    <s v="Pocari Sweat"/>
    <x v="0"/>
    <n v="8000"/>
    <n v="3"/>
    <n v="5"/>
    <n v="22800"/>
    <n v="15960"/>
    <n v="6840"/>
    <n v="30"/>
    <x v="2"/>
    <s v="Siti"/>
    <x v="0"/>
    <x v="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ABB16-DAC0-4EF9-8190-E5121AF5B74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8:D21" firstHeaderRow="0" firstDataRow="1" firstDataCol="1"/>
  <pivotFields count="21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44" showAll="0"/>
    <pivotField showAll="0"/>
    <pivotField numFmtId="3" showAll="0"/>
    <pivotField dataField="1" numFmtId="44" showAll="0"/>
    <pivotField numFmtId="44" showAll="0"/>
    <pivotField numFmtId="44" showAll="0"/>
    <pivotField numFmtId="2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numFmtId="3" showAll="0"/>
  </pivotFields>
  <rowFields count="1">
    <field x="19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ID Transaksi" fld="0" subtotal="count" baseField="0" baseItem="0"/>
    <dataField name="Sum of Total Penjualan" fld="12" baseField="0" baseItem="0" numFmtId="44"/>
    <dataField name="Average of Rating Pelanggan" fld="20" subtotal="average" baseField="19" baseItem="0" numFmtId="3"/>
  </dataFields>
  <chartFormats count="6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2A94D-E9AD-4540-8AFD-A990F26A7F0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3:C29" firstHeaderRow="0" firstDataRow="1" firstDataCol="1"/>
  <pivotFields count="21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44" showAll="0"/>
    <pivotField showAll="0"/>
    <pivotField numFmtId="3" showAll="0"/>
    <pivotField dataField="1" numFmtId="44" showAll="0"/>
    <pivotField numFmtId="44" showAll="0"/>
    <pivotField numFmtId="44" showAll="0"/>
    <pivotField numFmtId="2" showAll="0"/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numFmtId="3" showAll="0"/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 Transaksi" fld="0" subtotal="count" baseField="0" baseItem="0"/>
    <dataField name="Sum of Total Penjualan" fld="12" baseField="0" baseItem="0" numFmtId="44"/>
  </dataFields>
  <chartFormats count="12"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3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1"/>
          </reference>
          <reference field="18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1"/>
          </reference>
          <reference field="18" count="1" selected="0">
            <x v="1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1"/>
          </reference>
          <reference field="18" count="1" selected="0">
            <x v="2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1"/>
          </reference>
          <reference field="18" count="1" selected="0">
            <x v="3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1"/>
          </reference>
          <reference field="1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DF1A1-C1C5-4FCA-AE6A-9DAF5B91014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9:G15" firstHeaderRow="0" firstDataRow="1" firstDataCol="1"/>
  <pivotFields count="21">
    <pivotField showAll="0"/>
    <pivotField showAll="0"/>
    <pivotField showAll="0"/>
    <pivotField showAll="0"/>
    <pivotField showAll="0"/>
    <pivotField numFmtId="1"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numFmtId="44" showAll="0"/>
    <pivotField showAll="0"/>
    <pivotField numFmtId="3" showAll="0"/>
    <pivotField dataField="1" numFmtId="44" showAll="0"/>
    <pivotField numFmtId="44" showAll="0"/>
    <pivotField dataField="1" numFmtId="44" showAll="0"/>
    <pivotField dataField="1" numFmtId="2" showAll="0"/>
    <pivotField showAll="0"/>
    <pivotField showAll="0"/>
    <pivotField showAll="0"/>
    <pivotField showAll="0"/>
    <pivotField numFmtId="3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Penjualan" fld="12" baseField="0" baseItem="0" numFmtId="44"/>
    <dataField name="Sum of Laba Kotor" fld="14" baseField="0" baseItem="0" numFmtId="44"/>
    <dataField name="Average of Margin (%)" fld="15" subtotal="average" baseField="8" baseItem="0" numFmtId="2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E5857-5931-48C4-9B30-9AC5DE0B8CF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:F7" firstHeaderRow="0" firstDataRow="1" firstDataCol="1"/>
  <pivotFields count="21"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44" showAll="0"/>
    <pivotField showAll="0"/>
    <pivotField numFmtId="3" showAll="0"/>
    <pivotField dataField="1" numFmtId="44" showAll="0"/>
    <pivotField numFmtId="44" showAll="0"/>
    <pivotField dataField="1" numFmtId="44" showAll="0"/>
    <pivotField numFmtId="2"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numFmtId="3"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Penjualan" fld="12" baseField="0" baseItem="0" numFmtId="44"/>
    <dataField name="Sum of Laba Kotor" fld="14" baseField="0" baseItem="0" numFmtId="44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3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1"/>
          </reference>
          <reference field="1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0C0E3-C42A-4B0B-813A-D62DA460BC8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:B14" firstHeaderRow="1" firstDataRow="1" firstDataCol="1"/>
  <pivotFields count="21">
    <pivotField showAll="0"/>
    <pivotField showAll="0"/>
    <pivotField showAll="0"/>
    <pivotField axis="axisRow" showAll="0">
      <items count="13">
        <item x="1"/>
        <item x="6"/>
        <item x="10"/>
        <item x="9"/>
        <item x="8"/>
        <item x="5"/>
        <item x="2"/>
        <item x="4"/>
        <item x="7"/>
        <item x="3"/>
        <item x="11"/>
        <item x="0"/>
        <item t="default"/>
      </items>
    </pivotField>
    <pivotField showAll="0"/>
    <pivotField numFmtId="1" showAll="0"/>
    <pivotField showAll="0"/>
    <pivotField showAll="0"/>
    <pivotField showAll="0"/>
    <pivotField numFmtId="44" showAll="0"/>
    <pivotField showAll="0"/>
    <pivotField numFmtId="3" showAll="0"/>
    <pivotField dataField="1" numFmtId="44" showAll="0"/>
    <pivotField numFmtId="44" showAll="0"/>
    <pivotField numFmtId="44" showAll="0"/>
    <pivotField numFmtId="2" showAll="0"/>
    <pivotField showAll="0"/>
    <pivotField showAll="0"/>
    <pivotField showAll="0"/>
    <pivotField showAll="0"/>
    <pivotField numFmtId="3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Penjualan" fld="12" baseField="0" baseItem="0" numFmtId="44"/>
  </dataField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608814-9234-45D1-8827-4A3E853B8E3C}" name="Table1" displayName="Table1" ref="A1:U1001" totalsRowShown="0" headerRowDxfId="27" dataDxfId="25" headerRowBorderDxfId="26" tableBorderDxfId="24" totalsRowBorderDxfId="23">
  <autoFilter ref="A1:U1001" xr:uid="{F5608814-9234-45D1-8827-4A3E853B8E3C}"/>
  <tableColumns count="21">
    <tableColumn id="1" xr3:uid="{29259E9F-6A71-47EC-946A-31C17A731591}" name="ID Transaksi" dataDxfId="22"/>
    <tableColumn id="2" xr3:uid="{0826328B-41CC-40C1-9FB7-F7EAF0A5D1AB}" name="Tanggal" dataDxfId="21"/>
    <tableColumn id="3" xr3:uid="{23C05B9D-F86F-4F8F-8ACF-E35F088BE227}" name="Hari" dataDxfId="20"/>
    <tableColumn id="4" xr3:uid="{8C082795-F25B-4A60-B5B7-56F1E95AF7A9}" name="Bulan" dataDxfId="19"/>
    <tableColumn id="5" xr3:uid="{FE8EE141-ED9A-41D0-80E9-0A001AC5C7F1}" name="Kuartal" dataDxfId="18"/>
    <tableColumn id="6" xr3:uid="{1EBF68AF-493B-49E8-BA30-A4227A68E748}" name="Tahun" dataDxfId="17"/>
    <tableColumn id="7" xr3:uid="{277C5662-F887-4969-93F8-9B6901BD6C72}" name="Jam Transaksi" dataDxfId="16"/>
    <tableColumn id="8" xr3:uid="{3A58E0D5-2135-4C7C-8771-B55EEAF2490F}" name="Nama Produk" dataDxfId="15"/>
    <tableColumn id="9" xr3:uid="{7F41C364-0F45-4CA7-8F49-401BA1EF8458}" name="Kategori" dataDxfId="14"/>
    <tableColumn id="10" xr3:uid="{AB9C8A2E-454D-43CF-B682-6D0F035165CD}" name="Harga Satuan" dataDxfId="13"/>
    <tableColumn id="11" xr3:uid="{6F18C099-7D6B-4B5A-A028-B3969622E01A}" name="Jumlah" dataDxfId="12"/>
    <tableColumn id="12" xr3:uid="{51086063-3021-4915-BF86-43C9BB264715}" name="Diskon (%)" dataDxfId="11"/>
    <tableColumn id="13" xr3:uid="{DEF3B40B-870C-45BD-8ECA-FE327ADCE6BE}" name="Total Penjualan" dataDxfId="10"/>
    <tableColumn id="14" xr3:uid="{083BB10C-B1EA-429C-AFD0-D27A6286BA90}" name="HPP" dataDxfId="9"/>
    <tableColumn id="15" xr3:uid="{680602C3-7D44-4D52-8C7C-BB01B4E84A13}" name="Laba Kotor" dataDxfId="8"/>
    <tableColumn id="16" xr3:uid="{A3CC8685-8A53-4174-82AC-D747F2E12DAC}" name="Margin (%)" dataDxfId="7"/>
    <tableColumn id="17" xr3:uid="{F99C6F19-9CAD-4B87-BC0A-E4CD0DE1BEC3}" name="Cabang" dataDxfId="6" dataCellStyle="Currency"/>
    <tableColumn id="18" xr3:uid="{F93626AF-83AA-495F-B1F2-F32C2F371836}" name="Kasir" dataDxfId="5" dataCellStyle="Currency"/>
    <tableColumn id="19" xr3:uid="{5311EE13-99AF-4382-8CA3-6CC57BFDB4DB}" name="Metode Pembayaran" dataDxfId="4" dataCellStyle="Currency"/>
    <tableColumn id="20" xr3:uid="{78FDBD76-D08F-4593-A9B5-86814BAE7B5B}" name="Status Member" dataDxfId="3" dataCellStyle="Currency"/>
    <tableColumn id="21" xr3:uid="{B7C6ACBC-3B21-4BB0-8127-AC135B1A3FAB}" name="Rating Pelangga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V1001"/>
  <sheetViews>
    <sheetView zoomScale="106" workbookViewId="0">
      <pane ySplit="1" topLeftCell="A2" activePane="bottomLeft" state="frozen"/>
      <selection pane="bottomLeft" activeCell="C17" sqref="C17"/>
    </sheetView>
  </sheetViews>
  <sheetFormatPr defaultRowHeight="14.5" x14ac:dyDescent="0.35"/>
  <cols>
    <col min="1" max="1" width="14.54296875" style="20" customWidth="1"/>
    <col min="2" max="2" width="13" style="9" customWidth="1"/>
    <col min="3" max="3" width="10" style="20" customWidth="1"/>
    <col min="4" max="4" width="12" style="20" customWidth="1"/>
    <col min="5" max="5" width="9.7265625" style="20" customWidth="1"/>
    <col min="6" max="6" width="8.90625" style="30" customWidth="1"/>
    <col min="7" max="7" width="16.54296875" style="20" customWidth="1"/>
    <col min="8" max="8" width="22" style="20" customWidth="1"/>
    <col min="9" max="9" width="14" style="20" customWidth="1"/>
    <col min="10" max="10" width="15.6328125" style="36" customWidth="1"/>
    <col min="11" max="11" width="9.7265625" customWidth="1"/>
    <col min="12" max="12" width="12.90625" style="41" customWidth="1"/>
    <col min="13" max="13" width="17.7265625" style="36" customWidth="1"/>
    <col min="14" max="14" width="19.1796875" style="36" customWidth="1"/>
    <col min="15" max="15" width="13.08984375" style="36" customWidth="1"/>
    <col min="16" max="16" width="12.7265625" customWidth="1"/>
    <col min="17" max="17" width="14" style="35" customWidth="1"/>
    <col min="18" max="18" width="10" style="35" customWidth="1"/>
    <col min="19" max="19" width="22" style="35" customWidth="1"/>
    <col min="20" max="20" width="18.7265625" style="35" customWidth="1"/>
    <col min="21" max="21" width="20.08984375" style="41" customWidth="1"/>
    <col min="22" max="22" width="10.453125" bestFit="1" customWidth="1"/>
  </cols>
  <sheetData>
    <row r="1" spans="1:22" ht="20" customHeight="1" x14ac:dyDescent="0.35">
      <c r="A1" s="16" t="s">
        <v>0</v>
      </c>
      <c r="B1" s="12" t="s">
        <v>1</v>
      </c>
      <c r="C1" s="21" t="s">
        <v>2</v>
      </c>
      <c r="D1" s="21" t="s">
        <v>3</v>
      </c>
      <c r="E1" s="21" t="s">
        <v>4</v>
      </c>
      <c r="F1" s="26" t="s">
        <v>5</v>
      </c>
      <c r="G1" s="21" t="s">
        <v>6</v>
      </c>
      <c r="H1" s="21" t="s">
        <v>7</v>
      </c>
      <c r="I1" s="21" t="s">
        <v>8</v>
      </c>
      <c r="J1" s="44" t="s">
        <v>9</v>
      </c>
      <c r="K1" s="25" t="s">
        <v>10</v>
      </c>
      <c r="L1" s="42" t="s">
        <v>11</v>
      </c>
      <c r="M1" s="44" t="s">
        <v>12</v>
      </c>
      <c r="N1" s="44" t="s">
        <v>13</v>
      </c>
      <c r="O1" s="44" t="s">
        <v>14</v>
      </c>
      <c r="P1" s="25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7" t="s">
        <v>20</v>
      </c>
    </row>
    <row r="2" spans="1:22" x14ac:dyDescent="0.35">
      <c r="A2" s="17" t="s">
        <v>21</v>
      </c>
      <c r="B2" s="10">
        <v>45581</v>
      </c>
      <c r="C2" s="22" t="s">
        <v>22</v>
      </c>
      <c r="D2" s="22" t="s">
        <v>23</v>
      </c>
      <c r="E2" s="22" t="s">
        <v>24</v>
      </c>
      <c r="F2" s="27">
        <v>2024</v>
      </c>
      <c r="G2" s="22" t="s">
        <v>25</v>
      </c>
      <c r="H2" s="22" t="s">
        <v>26</v>
      </c>
      <c r="I2" s="22" t="s">
        <v>27</v>
      </c>
      <c r="J2" s="45">
        <v>5000</v>
      </c>
      <c r="K2" s="1">
        <v>5</v>
      </c>
      <c r="L2" s="2">
        <v>0</v>
      </c>
      <c r="M2" s="45">
        <v>25000</v>
      </c>
      <c r="N2" s="45">
        <v>14699</v>
      </c>
      <c r="O2" s="45">
        <v>10301</v>
      </c>
      <c r="P2" s="3">
        <v>41.2</v>
      </c>
      <c r="Q2" s="32" t="s">
        <v>28</v>
      </c>
      <c r="R2" s="32" t="s">
        <v>29</v>
      </c>
      <c r="S2" s="32" t="s">
        <v>30</v>
      </c>
      <c r="T2" s="32" t="s">
        <v>31</v>
      </c>
      <c r="U2" s="38">
        <v>1</v>
      </c>
      <c r="V2" s="9"/>
    </row>
    <row r="3" spans="1:22" x14ac:dyDescent="0.35">
      <c r="A3" s="18" t="s">
        <v>32</v>
      </c>
      <c r="B3" s="8">
        <v>45022</v>
      </c>
      <c r="C3" s="23" t="s">
        <v>33</v>
      </c>
      <c r="D3" s="23" t="s">
        <v>34</v>
      </c>
      <c r="E3" s="23" t="s">
        <v>35</v>
      </c>
      <c r="F3" s="28">
        <v>2023</v>
      </c>
      <c r="G3" s="23" t="s">
        <v>36</v>
      </c>
      <c r="H3" s="23" t="s">
        <v>37</v>
      </c>
      <c r="I3" s="23" t="s">
        <v>38</v>
      </c>
      <c r="J3" s="46">
        <v>10000</v>
      </c>
      <c r="K3" s="4">
        <v>9</v>
      </c>
      <c r="L3" s="5">
        <v>10</v>
      </c>
      <c r="M3" s="46">
        <v>81000</v>
      </c>
      <c r="N3" s="46">
        <v>44915</v>
      </c>
      <c r="O3" s="46">
        <v>36085</v>
      </c>
      <c r="P3" s="6">
        <v>44.55</v>
      </c>
      <c r="Q3" s="33" t="s">
        <v>39</v>
      </c>
      <c r="R3" s="33" t="s">
        <v>29</v>
      </c>
      <c r="S3" s="33" t="s">
        <v>40</v>
      </c>
      <c r="T3" s="33" t="s">
        <v>41</v>
      </c>
      <c r="U3" s="39">
        <v>5</v>
      </c>
      <c r="V3" s="9"/>
    </row>
    <row r="4" spans="1:22" x14ac:dyDescent="0.35">
      <c r="A4" s="17" t="s">
        <v>42</v>
      </c>
      <c r="B4" s="7">
        <v>45211</v>
      </c>
      <c r="C4" s="22" t="s">
        <v>33</v>
      </c>
      <c r="D4" s="22" t="s">
        <v>23</v>
      </c>
      <c r="E4" s="22" t="s">
        <v>24</v>
      </c>
      <c r="F4" s="27">
        <v>2023</v>
      </c>
      <c r="G4" s="22" t="s">
        <v>43</v>
      </c>
      <c r="H4" s="22" t="s">
        <v>44</v>
      </c>
      <c r="I4" s="22" t="s">
        <v>27</v>
      </c>
      <c r="J4" s="45">
        <v>6000</v>
      </c>
      <c r="K4" s="1">
        <v>7</v>
      </c>
      <c r="L4" s="2">
        <v>0</v>
      </c>
      <c r="M4" s="45">
        <v>42000</v>
      </c>
      <c r="N4" s="45">
        <v>25084</v>
      </c>
      <c r="O4" s="45">
        <v>16916</v>
      </c>
      <c r="P4" s="48">
        <v>40.28</v>
      </c>
      <c r="Q4" s="32" t="s">
        <v>39</v>
      </c>
      <c r="R4" s="32" t="s">
        <v>45</v>
      </c>
      <c r="S4" s="32" t="s">
        <v>30</v>
      </c>
      <c r="T4" s="32" t="s">
        <v>41</v>
      </c>
      <c r="U4" s="38">
        <v>1</v>
      </c>
      <c r="V4" s="9"/>
    </row>
    <row r="5" spans="1:22" x14ac:dyDescent="0.35">
      <c r="A5" s="18" t="s">
        <v>46</v>
      </c>
      <c r="B5" s="8">
        <v>45294</v>
      </c>
      <c r="C5" s="23" t="s">
        <v>22</v>
      </c>
      <c r="D5" s="23" t="s">
        <v>47</v>
      </c>
      <c r="E5" s="23" t="s">
        <v>48</v>
      </c>
      <c r="F5" s="28">
        <v>2024</v>
      </c>
      <c r="G5" s="23" t="s">
        <v>25</v>
      </c>
      <c r="H5" s="23" t="s">
        <v>49</v>
      </c>
      <c r="I5" s="23" t="s">
        <v>50</v>
      </c>
      <c r="J5" s="46">
        <v>18000</v>
      </c>
      <c r="K5" s="4">
        <v>5</v>
      </c>
      <c r="L5" s="5">
        <v>20</v>
      </c>
      <c r="M5" s="46">
        <v>72000</v>
      </c>
      <c r="N5" s="46">
        <v>40132</v>
      </c>
      <c r="O5" s="46">
        <v>31868</v>
      </c>
      <c r="P5" s="6">
        <v>44.26</v>
      </c>
      <c r="Q5" s="33" t="s">
        <v>51</v>
      </c>
      <c r="R5" s="33" t="s">
        <v>29</v>
      </c>
      <c r="S5" s="33" t="s">
        <v>30</v>
      </c>
      <c r="T5" s="33" t="s">
        <v>31</v>
      </c>
      <c r="U5" s="39">
        <v>5</v>
      </c>
      <c r="V5" s="9"/>
    </row>
    <row r="6" spans="1:22" x14ac:dyDescent="0.35">
      <c r="A6" s="17" t="s">
        <v>52</v>
      </c>
      <c r="B6" s="7">
        <v>45227</v>
      </c>
      <c r="C6" s="22" t="s">
        <v>53</v>
      </c>
      <c r="D6" s="22" t="s">
        <v>23</v>
      </c>
      <c r="E6" s="22" t="s">
        <v>24</v>
      </c>
      <c r="F6" s="27">
        <v>2023</v>
      </c>
      <c r="G6" s="22" t="s">
        <v>43</v>
      </c>
      <c r="H6" s="22" t="s">
        <v>54</v>
      </c>
      <c r="I6" s="22" t="s">
        <v>55</v>
      </c>
      <c r="J6" s="45">
        <v>18000</v>
      </c>
      <c r="K6" s="1">
        <v>10</v>
      </c>
      <c r="L6" s="2">
        <v>0</v>
      </c>
      <c r="M6" s="45">
        <v>180000</v>
      </c>
      <c r="N6" s="45">
        <v>120560</v>
      </c>
      <c r="O6" s="45">
        <v>59440</v>
      </c>
      <c r="P6" s="3">
        <v>33.020000000000003</v>
      </c>
      <c r="Q6" s="32" t="s">
        <v>28</v>
      </c>
      <c r="R6" s="32" t="s">
        <v>56</v>
      </c>
      <c r="S6" s="32" t="s">
        <v>57</v>
      </c>
      <c r="T6" s="32" t="s">
        <v>31</v>
      </c>
      <c r="U6" s="38">
        <v>1</v>
      </c>
      <c r="V6" s="9"/>
    </row>
    <row r="7" spans="1:22" x14ac:dyDescent="0.35">
      <c r="A7" s="18" t="s">
        <v>58</v>
      </c>
      <c r="B7" s="8">
        <v>45316</v>
      </c>
      <c r="C7" s="23" t="s">
        <v>33</v>
      </c>
      <c r="D7" s="23" t="s">
        <v>47</v>
      </c>
      <c r="E7" s="23" t="s">
        <v>48</v>
      </c>
      <c r="F7" s="28">
        <v>2024</v>
      </c>
      <c r="G7" s="23" t="s">
        <v>36</v>
      </c>
      <c r="H7" s="23" t="s">
        <v>59</v>
      </c>
      <c r="I7" s="23" t="s">
        <v>50</v>
      </c>
      <c r="J7" s="46">
        <v>22000</v>
      </c>
      <c r="K7" s="4">
        <v>6</v>
      </c>
      <c r="L7" s="5">
        <v>0</v>
      </c>
      <c r="M7" s="46">
        <v>132000</v>
      </c>
      <c r="N7" s="46">
        <v>80907</v>
      </c>
      <c r="O7" s="46">
        <v>51093</v>
      </c>
      <c r="P7" s="6">
        <v>38.71</v>
      </c>
      <c r="Q7" s="33" t="s">
        <v>39</v>
      </c>
      <c r="R7" s="33" t="s">
        <v>45</v>
      </c>
      <c r="S7" s="33" t="s">
        <v>30</v>
      </c>
      <c r="T7" s="33" t="s">
        <v>31</v>
      </c>
      <c r="U7" s="39">
        <v>2</v>
      </c>
      <c r="V7" s="9"/>
    </row>
    <row r="8" spans="1:22" x14ac:dyDescent="0.35">
      <c r="A8" s="17" t="s">
        <v>60</v>
      </c>
      <c r="B8" s="7">
        <v>45400</v>
      </c>
      <c r="C8" s="22" t="s">
        <v>33</v>
      </c>
      <c r="D8" s="22" t="s">
        <v>34</v>
      </c>
      <c r="E8" s="22" t="s">
        <v>35</v>
      </c>
      <c r="F8" s="27">
        <v>2024</v>
      </c>
      <c r="G8" s="22" t="s">
        <v>61</v>
      </c>
      <c r="H8" s="22" t="s">
        <v>62</v>
      </c>
      <c r="I8" s="22" t="s">
        <v>63</v>
      </c>
      <c r="J8" s="45">
        <v>5000</v>
      </c>
      <c r="K8" s="1">
        <v>9</v>
      </c>
      <c r="L8" s="2">
        <v>0</v>
      </c>
      <c r="M8" s="45">
        <v>45000</v>
      </c>
      <c r="N8" s="45">
        <v>29987</v>
      </c>
      <c r="O8" s="45">
        <v>15013</v>
      </c>
      <c r="P8" s="3">
        <v>33.36</v>
      </c>
      <c r="Q8" s="32" t="s">
        <v>28</v>
      </c>
      <c r="R8" s="32" t="s">
        <v>56</v>
      </c>
      <c r="S8" s="32" t="s">
        <v>30</v>
      </c>
      <c r="T8" s="32" t="s">
        <v>41</v>
      </c>
      <c r="U8" s="38">
        <v>3</v>
      </c>
      <c r="V8" s="9"/>
    </row>
    <row r="9" spans="1:22" x14ac:dyDescent="0.35">
      <c r="A9" s="18" t="s">
        <v>64</v>
      </c>
      <c r="B9" s="8">
        <v>44994</v>
      </c>
      <c r="C9" s="23" t="s">
        <v>33</v>
      </c>
      <c r="D9" s="23" t="s">
        <v>65</v>
      </c>
      <c r="E9" s="23" t="s">
        <v>48</v>
      </c>
      <c r="F9" s="28">
        <v>2023</v>
      </c>
      <c r="G9" s="23" t="s">
        <v>61</v>
      </c>
      <c r="H9" s="23" t="s">
        <v>66</v>
      </c>
      <c r="I9" s="23" t="s">
        <v>38</v>
      </c>
      <c r="J9" s="46">
        <v>11000</v>
      </c>
      <c r="K9" s="4">
        <v>6</v>
      </c>
      <c r="L9" s="5">
        <v>0</v>
      </c>
      <c r="M9" s="46">
        <v>66000</v>
      </c>
      <c r="N9" s="46">
        <v>43654</v>
      </c>
      <c r="O9" s="46">
        <v>22346</v>
      </c>
      <c r="P9" s="6">
        <v>33.86</v>
      </c>
      <c r="Q9" s="33" t="s">
        <v>51</v>
      </c>
      <c r="R9" s="33" t="s">
        <v>67</v>
      </c>
      <c r="S9" s="33" t="s">
        <v>68</v>
      </c>
      <c r="T9" s="33" t="s">
        <v>31</v>
      </c>
      <c r="U9" s="39">
        <v>2</v>
      </c>
      <c r="V9" s="9"/>
    </row>
    <row r="10" spans="1:22" x14ac:dyDescent="0.35">
      <c r="A10" s="17" t="s">
        <v>69</v>
      </c>
      <c r="B10" s="7">
        <v>45501</v>
      </c>
      <c r="C10" s="22" t="s">
        <v>70</v>
      </c>
      <c r="D10" s="22" t="s">
        <v>71</v>
      </c>
      <c r="E10" s="22" t="s">
        <v>72</v>
      </c>
      <c r="F10" s="27">
        <v>2024</v>
      </c>
      <c r="G10" s="22" t="s">
        <v>36</v>
      </c>
      <c r="H10" s="22" t="s">
        <v>54</v>
      </c>
      <c r="I10" s="22" t="s">
        <v>55</v>
      </c>
      <c r="J10" s="45">
        <v>18000</v>
      </c>
      <c r="K10" s="1">
        <v>10</v>
      </c>
      <c r="L10" s="2">
        <v>5</v>
      </c>
      <c r="M10" s="45">
        <v>171000</v>
      </c>
      <c r="N10" s="45">
        <v>120150</v>
      </c>
      <c r="O10" s="45">
        <v>50850</v>
      </c>
      <c r="P10" s="3">
        <v>29.74</v>
      </c>
      <c r="Q10" s="32" t="s">
        <v>51</v>
      </c>
      <c r="R10" s="32" t="s">
        <v>45</v>
      </c>
      <c r="S10" s="32" t="s">
        <v>68</v>
      </c>
      <c r="T10" s="32" t="s">
        <v>41</v>
      </c>
      <c r="U10" s="38">
        <v>1</v>
      </c>
      <c r="V10" s="9"/>
    </row>
    <row r="11" spans="1:22" x14ac:dyDescent="0.35">
      <c r="A11" s="18" t="s">
        <v>73</v>
      </c>
      <c r="B11" s="8">
        <v>44975</v>
      </c>
      <c r="C11" s="23" t="s">
        <v>53</v>
      </c>
      <c r="D11" s="23" t="s">
        <v>74</v>
      </c>
      <c r="E11" s="23" t="s">
        <v>48</v>
      </c>
      <c r="F11" s="28">
        <v>2023</v>
      </c>
      <c r="G11" s="23" t="s">
        <v>25</v>
      </c>
      <c r="H11" s="23" t="s">
        <v>44</v>
      </c>
      <c r="I11" s="23" t="s">
        <v>27</v>
      </c>
      <c r="J11" s="46">
        <v>6000</v>
      </c>
      <c r="K11" s="4">
        <v>3</v>
      </c>
      <c r="L11" s="5">
        <v>20</v>
      </c>
      <c r="M11" s="46">
        <v>14400</v>
      </c>
      <c r="N11" s="46">
        <v>9586</v>
      </c>
      <c r="O11" s="46">
        <v>4814</v>
      </c>
      <c r="P11" s="6">
        <v>33.43</v>
      </c>
      <c r="Q11" s="33" t="s">
        <v>75</v>
      </c>
      <c r="R11" s="33" t="s">
        <v>76</v>
      </c>
      <c r="S11" s="33" t="s">
        <v>40</v>
      </c>
      <c r="T11" s="33" t="s">
        <v>41</v>
      </c>
      <c r="U11" s="39">
        <v>5</v>
      </c>
      <c r="V11" s="9"/>
    </row>
    <row r="12" spans="1:22" x14ac:dyDescent="0.35">
      <c r="A12" s="17" t="s">
        <v>77</v>
      </c>
      <c r="B12" s="7">
        <v>45184</v>
      </c>
      <c r="C12" s="22" t="s">
        <v>78</v>
      </c>
      <c r="D12" s="22" t="s">
        <v>79</v>
      </c>
      <c r="E12" s="22" t="s">
        <v>72</v>
      </c>
      <c r="F12" s="27">
        <v>2023</v>
      </c>
      <c r="G12" s="22" t="s">
        <v>61</v>
      </c>
      <c r="H12" s="22" t="s">
        <v>80</v>
      </c>
      <c r="I12" s="22" t="s">
        <v>55</v>
      </c>
      <c r="J12" s="45">
        <v>25000</v>
      </c>
      <c r="K12" s="1">
        <v>2</v>
      </c>
      <c r="L12" s="2">
        <v>15</v>
      </c>
      <c r="M12" s="45">
        <v>42500</v>
      </c>
      <c r="N12" s="45">
        <v>29768</v>
      </c>
      <c r="O12" s="45">
        <v>12732</v>
      </c>
      <c r="P12" s="3">
        <v>29.96</v>
      </c>
      <c r="Q12" s="32" t="s">
        <v>81</v>
      </c>
      <c r="R12" s="32" t="s">
        <v>45</v>
      </c>
      <c r="S12" s="32" t="s">
        <v>30</v>
      </c>
      <c r="T12" s="32" t="s">
        <v>41</v>
      </c>
      <c r="U12" s="38">
        <v>2</v>
      </c>
      <c r="V12" s="9"/>
    </row>
    <row r="13" spans="1:22" x14ac:dyDescent="0.35">
      <c r="A13" s="18" t="s">
        <v>82</v>
      </c>
      <c r="B13" s="8">
        <v>45391</v>
      </c>
      <c r="C13" s="23" t="s">
        <v>83</v>
      </c>
      <c r="D13" s="23" t="s">
        <v>34</v>
      </c>
      <c r="E13" s="23" t="s">
        <v>35</v>
      </c>
      <c r="F13" s="28">
        <v>2024</v>
      </c>
      <c r="G13" s="23" t="s">
        <v>36</v>
      </c>
      <c r="H13" s="23" t="s">
        <v>84</v>
      </c>
      <c r="I13" s="23" t="s">
        <v>27</v>
      </c>
      <c r="J13" s="46">
        <v>8000</v>
      </c>
      <c r="K13" s="4">
        <v>9</v>
      </c>
      <c r="L13" s="5">
        <v>20</v>
      </c>
      <c r="M13" s="46">
        <v>57600</v>
      </c>
      <c r="N13" s="46">
        <v>33429</v>
      </c>
      <c r="O13" s="46">
        <v>24171</v>
      </c>
      <c r="P13" s="6">
        <v>41.96</v>
      </c>
      <c r="Q13" s="33" t="s">
        <v>28</v>
      </c>
      <c r="R13" s="33" t="s">
        <v>45</v>
      </c>
      <c r="S13" s="33" t="s">
        <v>85</v>
      </c>
      <c r="T13" s="33" t="s">
        <v>31</v>
      </c>
      <c r="U13" s="39">
        <v>3</v>
      </c>
      <c r="V13" s="9"/>
    </row>
    <row r="14" spans="1:22" x14ac:dyDescent="0.35">
      <c r="A14" s="17" t="s">
        <v>86</v>
      </c>
      <c r="B14" s="7">
        <v>45092</v>
      </c>
      <c r="C14" s="22" t="s">
        <v>33</v>
      </c>
      <c r="D14" s="22" t="s">
        <v>87</v>
      </c>
      <c r="E14" s="22" t="s">
        <v>35</v>
      </c>
      <c r="F14" s="27">
        <v>2023</v>
      </c>
      <c r="G14" s="22" t="s">
        <v>61</v>
      </c>
      <c r="H14" s="22" t="s">
        <v>88</v>
      </c>
      <c r="I14" s="22" t="s">
        <v>55</v>
      </c>
      <c r="J14" s="45">
        <v>8000</v>
      </c>
      <c r="K14" s="1">
        <v>1</v>
      </c>
      <c r="L14" s="2">
        <v>10</v>
      </c>
      <c r="M14" s="45">
        <v>7200</v>
      </c>
      <c r="N14" s="45">
        <v>4357</v>
      </c>
      <c r="O14" s="45">
        <v>2843</v>
      </c>
      <c r="P14" s="3">
        <v>39.49</v>
      </c>
      <c r="Q14" s="32" t="s">
        <v>28</v>
      </c>
      <c r="R14" s="32" t="s">
        <v>76</v>
      </c>
      <c r="S14" s="32" t="s">
        <v>57</v>
      </c>
      <c r="T14" s="32" t="s">
        <v>31</v>
      </c>
      <c r="U14" s="38">
        <v>1</v>
      </c>
      <c r="V14" s="9"/>
    </row>
    <row r="15" spans="1:22" x14ac:dyDescent="0.35">
      <c r="A15" s="18" t="s">
        <v>89</v>
      </c>
      <c r="B15" s="8">
        <v>45173</v>
      </c>
      <c r="C15" s="23" t="s">
        <v>90</v>
      </c>
      <c r="D15" s="23" t="s">
        <v>79</v>
      </c>
      <c r="E15" s="23" t="s">
        <v>72</v>
      </c>
      <c r="F15" s="28">
        <v>2023</v>
      </c>
      <c r="G15" s="23" t="s">
        <v>36</v>
      </c>
      <c r="H15" s="23" t="s">
        <v>80</v>
      </c>
      <c r="I15" s="23" t="s">
        <v>55</v>
      </c>
      <c r="J15" s="46">
        <v>25000</v>
      </c>
      <c r="K15" s="4">
        <v>2</v>
      </c>
      <c r="L15" s="5">
        <v>15</v>
      </c>
      <c r="M15" s="46">
        <v>42500</v>
      </c>
      <c r="N15" s="46">
        <v>26886</v>
      </c>
      <c r="O15" s="46">
        <v>15614</v>
      </c>
      <c r="P15" s="6">
        <v>36.74</v>
      </c>
      <c r="Q15" s="33" t="s">
        <v>28</v>
      </c>
      <c r="R15" s="33" t="s">
        <v>29</v>
      </c>
      <c r="S15" s="33" t="s">
        <v>68</v>
      </c>
      <c r="T15" s="33" t="s">
        <v>41</v>
      </c>
      <c r="U15" s="39">
        <v>5</v>
      </c>
      <c r="V15" s="9"/>
    </row>
    <row r="16" spans="1:22" x14ac:dyDescent="0.35">
      <c r="A16" s="17" t="s">
        <v>91</v>
      </c>
      <c r="B16" s="7">
        <v>45096</v>
      </c>
      <c r="C16" s="22" t="s">
        <v>90</v>
      </c>
      <c r="D16" s="22" t="s">
        <v>87</v>
      </c>
      <c r="E16" s="22" t="s">
        <v>35</v>
      </c>
      <c r="F16" s="27">
        <v>2023</v>
      </c>
      <c r="G16" s="22" t="s">
        <v>25</v>
      </c>
      <c r="H16" s="22" t="s">
        <v>49</v>
      </c>
      <c r="I16" s="22" t="s">
        <v>50</v>
      </c>
      <c r="J16" s="45">
        <v>18000</v>
      </c>
      <c r="K16" s="1">
        <v>10</v>
      </c>
      <c r="L16" s="2">
        <v>5</v>
      </c>
      <c r="M16" s="45">
        <v>171000</v>
      </c>
      <c r="N16" s="45">
        <v>122084</v>
      </c>
      <c r="O16" s="45">
        <v>48916</v>
      </c>
      <c r="P16" s="3">
        <v>28.61</v>
      </c>
      <c r="Q16" s="32" t="s">
        <v>75</v>
      </c>
      <c r="R16" s="32" t="s">
        <v>56</v>
      </c>
      <c r="S16" s="32" t="s">
        <v>57</v>
      </c>
      <c r="T16" s="32" t="s">
        <v>41</v>
      </c>
      <c r="U16" s="38">
        <v>4</v>
      </c>
      <c r="V16" s="9"/>
    </row>
    <row r="17" spans="1:22" x14ac:dyDescent="0.35">
      <c r="A17" s="18" t="s">
        <v>92</v>
      </c>
      <c r="B17" s="8">
        <v>45456</v>
      </c>
      <c r="C17" s="23" t="s">
        <v>33</v>
      </c>
      <c r="D17" s="23" t="s">
        <v>87</v>
      </c>
      <c r="E17" s="23" t="s">
        <v>35</v>
      </c>
      <c r="F17" s="28">
        <v>2024</v>
      </c>
      <c r="G17" s="23" t="s">
        <v>36</v>
      </c>
      <c r="H17" s="23" t="s">
        <v>93</v>
      </c>
      <c r="I17" s="23" t="s">
        <v>63</v>
      </c>
      <c r="J17" s="46">
        <v>14000</v>
      </c>
      <c r="K17" s="4">
        <v>4</v>
      </c>
      <c r="L17" s="5">
        <v>0</v>
      </c>
      <c r="M17" s="46">
        <v>56000</v>
      </c>
      <c r="N17" s="46">
        <v>31410</v>
      </c>
      <c r="O17" s="46">
        <v>24590</v>
      </c>
      <c r="P17" s="6">
        <v>43.91</v>
      </c>
      <c r="Q17" s="33" t="s">
        <v>28</v>
      </c>
      <c r="R17" s="33" t="s">
        <v>29</v>
      </c>
      <c r="S17" s="33" t="s">
        <v>85</v>
      </c>
      <c r="T17" s="33" t="s">
        <v>31</v>
      </c>
      <c r="U17" s="39">
        <v>1</v>
      </c>
      <c r="V17" s="9"/>
    </row>
    <row r="18" spans="1:22" x14ac:dyDescent="0.35">
      <c r="A18" s="17" t="s">
        <v>94</v>
      </c>
      <c r="B18" s="7">
        <v>44999</v>
      </c>
      <c r="C18" s="22" t="s">
        <v>83</v>
      </c>
      <c r="D18" s="22" t="s">
        <v>65</v>
      </c>
      <c r="E18" s="22" t="s">
        <v>48</v>
      </c>
      <c r="F18" s="27">
        <v>2023</v>
      </c>
      <c r="G18" s="22" t="s">
        <v>61</v>
      </c>
      <c r="H18" s="22" t="s">
        <v>44</v>
      </c>
      <c r="I18" s="22" t="s">
        <v>27</v>
      </c>
      <c r="J18" s="45">
        <v>6000</v>
      </c>
      <c r="K18" s="1">
        <v>2</v>
      </c>
      <c r="L18" s="2">
        <v>0</v>
      </c>
      <c r="M18" s="45">
        <v>12000</v>
      </c>
      <c r="N18" s="45">
        <v>8354</v>
      </c>
      <c r="O18" s="45">
        <v>3646</v>
      </c>
      <c r="P18" s="3">
        <v>30.38</v>
      </c>
      <c r="Q18" s="32" t="s">
        <v>28</v>
      </c>
      <c r="R18" s="32" t="s">
        <v>29</v>
      </c>
      <c r="S18" s="32" t="s">
        <v>68</v>
      </c>
      <c r="T18" s="32" t="s">
        <v>41</v>
      </c>
      <c r="U18" s="38">
        <v>2</v>
      </c>
      <c r="V18" s="9"/>
    </row>
    <row r="19" spans="1:22" x14ac:dyDescent="0.35">
      <c r="A19" s="18" t="s">
        <v>95</v>
      </c>
      <c r="B19" s="8">
        <v>45479</v>
      </c>
      <c r="C19" s="23" t="s">
        <v>53</v>
      </c>
      <c r="D19" s="23" t="s">
        <v>71</v>
      </c>
      <c r="E19" s="23" t="s">
        <v>72</v>
      </c>
      <c r="F19" s="28">
        <v>2024</v>
      </c>
      <c r="G19" s="23" t="s">
        <v>43</v>
      </c>
      <c r="H19" s="23" t="s">
        <v>66</v>
      </c>
      <c r="I19" s="23" t="s">
        <v>38</v>
      </c>
      <c r="J19" s="46">
        <v>11000</v>
      </c>
      <c r="K19" s="4">
        <v>10</v>
      </c>
      <c r="L19" s="5">
        <v>5</v>
      </c>
      <c r="M19" s="46">
        <v>104500</v>
      </c>
      <c r="N19" s="46">
        <v>61792</v>
      </c>
      <c r="O19" s="46">
        <v>42708</v>
      </c>
      <c r="P19" s="6">
        <v>40.869999999999997</v>
      </c>
      <c r="Q19" s="33" t="s">
        <v>51</v>
      </c>
      <c r="R19" s="33" t="s">
        <v>67</v>
      </c>
      <c r="S19" s="33" t="s">
        <v>68</v>
      </c>
      <c r="T19" s="33" t="s">
        <v>31</v>
      </c>
      <c r="U19" s="39">
        <v>4</v>
      </c>
      <c r="V19" s="9"/>
    </row>
    <row r="20" spans="1:22" x14ac:dyDescent="0.35">
      <c r="A20" s="17" t="s">
        <v>96</v>
      </c>
      <c r="B20" s="7">
        <v>45289</v>
      </c>
      <c r="C20" s="22" t="s">
        <v>78</v>
      </c>
      <c r="D20" s="22" t="s">
        <v>97</v>
      </c>
      <c r="E20" s="22" t="s">
        <v>24</v>
      </c>
      <c r="F20" s="27">
        <v>2023</v>
      </c>
      <c r="G20" s="22" t="s">
        <v>61</v>
      </c>
      <c r="H20" s="22" t="s">
        <v>98</v>
      </c>
      <c r="I20" s="22" t="s">
        <v>63</v>
      </c>
      <c r="J20" s="45">
        <v>28000</v>
      </c>
      <c r="K20" s="1">
        <v>8</v>
      </c>
      <c r="L20" s="2">
        <v>20</v>
      </c>
      <c r="M20" s="45">
        <v>179200</v>
      </c>
      <c r="N20" s="45">
        <v>120771</v>
      </c>
      <c r="O20" s="45">
        <v>58429</v>
      </c>
      <c r="P20" s="3">
        <v>32.61</v>
      </c>
      <c r="Q20" s="32" t="s">
        <v>28</v>
      </c>
      <c r="R20" s="32" t="s">
        <v>76</v>
      </c>
      <c r="S20" s="32" t="s">
        <v>40</v>
      </c>
      <c r="T20" s="32" t="s">
        <v>31</v>
      </c>
      <c r="U20" s="38">
        <v>2</v>
      </c>
      <c r="V20" s="9"/>
    </row>
    <row r="21" spans="1:22" x14ac:dyDescent="0.35">
      <c r="A21" s="18" t="s">
        <v>99</v>
      </c>
      <c r="B21" s="8">
        <v>45123</v>
      </c>
      <c r="C21" s="23" t="s">
        <v>70</v>
      </c>
      <c r="D21" s="23" t="s">
        <v>71</v>
      </c>
      <c r="E21" s="23" t="s">
        <v>72</v>
      </c>
      <c r="F21" s="28">
        <v>2023</v>
      </c>
      <c r="G21" s="23" t="s">
        <v>43</v>
      </c>
      <c r="H21" s="23" t="s">
        <v>66</v>
      </c>
      <c r="I21" s="23" t="s">
        <v>38</v>
      </c>
      <c r="J21" s="46">
        <v>11000</v>
      </c>
      <c r="K21" s="4">
        <v>8</v>
      </c>
      <c r="L21" s="5">
        <v>0</v>
      </c>
      <c r="M21" s="46">
        <v>88000</v>
      </c>
      <c r="N21" s="46">
        <v>54711</v>
      </c>
      <c r="O21" s="46">
        <v>33289</v>
      </c>
      <c r="P21" s="6">
        <v>37.83</v>
      </c>
      <c r="Q21" s="33" t="s">
        <v>81</v>
      </c>
      <c r="R21" s="33" t="s">
        <v>67</v>
      </c>
      <c r="S21" s="33" t="s">
        <v>68</v>
      </c>
      <c r="T21" s="33" t="s">
        <v>41</v>
      </c>
      <c r="U21" s="39">
        <v>5</v>
      </c>
      <c r="V21" s="9"/>
    </row>
    <row r="22" spans="1:22" x14ac:dyDescent="0.35">
      <c r="A22" s="17" t="s">
        <v>100</v>
      </c>
      <c r="B22" s="7">
        <v>45027</v>
      </c>
      <c r="C22" s="22" t="s">
        <v>83</v>
      </c>
      <c r="D22" s="22" t="s">
        <v>34</v>
      </c>
      <c r="E22" s="22" t="s">
        <v>35</v>
      </c>
      <c r="F22" s="27">
        <v>2023</v>
      </c>
      <c r="G22" s="22" t="s">
        <v>25</v>
      </c>
      <c r="H22" s="22" t="s">
        <v>101</v>
      </c>
      <c r="I22" s="22" t="s">
        <v>27</v>
      </c>
      <c r="J22" s="45">
        <v>9000</v>
      </c>
      <c r="K22" s="1">
        <v>1</v>
      </c>
      <c r="L22" s="2">
        <v>0</v>
      </c>
      <c r="M22" s="45">
        <v>9000</v>
      </c>
      <c r="N22" s="45">
        <v>6367</v>
      </c>
      <c r="O22" s="45">
        <v>2633</v>
      </c>
      <c r="P22" s="3">
        <v>29.26</v>
      </c>
      <c r="Q22" s="32" t="s">
        <v>39</v>
      </c>
      <c r="R22" s="32" t="s">
        <v>56</v>
      </c>
      <c r="S22" s="32" t="s">
        <v>40</v>
      </c>
      <c r="T22" s="32" t="s">
        <v>41</v>
      </c>
      <c r="U22" s="38">
        <v>2</v>
      </c>
      <c r="V22" s="9"/>
    </row>
    <row r="23" spans="1:22" x14ac:dyDescent="0.35">
      <c r="A23" s="18" t="s">
        <v>102</v>
      </c>
      <c r="B23" s="8">
        <v>45337</v>
      </c>
      <c r="C23" s="23" t="s">
        <v>33</v>
      </c>
      <c r="D23" s="23" t="s">
        <v>74</v>
      </c>
      <c r="E23" s="23" t="s">
        <v>48</v>
      </c>
      <c r="F23" s="28">
        <v>2024</v>
      </c>
      <c r="G23" s="23" t="s">
        <v>25</v>
      </c>
      <c r="H23" s="23" t="s">
        <v>44</v>
      </c>
      <c r="I23" s="23" t="s">
        <v>27</v>
      </c>
      <c r="J23" s="46">
        <v>6000</v>
      </c>
      <c r="K23" s="4">
        <v>7</v>
      </c>
      <c r="L23" s="5">
        <v>0</v>
      </c>
      <c r="M23" s="46">
        <v>42000</v>
      </c>
      <c r="N23" s="46">
        <v>30135</v>
      </c>
      <c r="O23" s="46">
        <v>11865</v>
      </c>
      <c r="P23" s="6">
        <v>28.25</v>
      </c>
      <c r="Q23" s="33" t="s">
        <v>81</v>
      </c>
      <c r="R23" s="33" t="s">
        <v>67</v>
      </c>
      <c r="S23" s="33" t="s">
        <v>57</v>
      </c>
      <c r="T23" s="33" t="s">
        <v>41</v>
      </c>
      <c r="U23" s="39">
        <v>2</v>
      </c>
      <c r="V23" s="9"/>
    </row>
    <row r="24" spans="1:22" x14ac:dyDescent="0.35">
      <c r="A24" s="17" t="s">
        <v>103</v>
      </c>
      <c r="B24" s="7">
        <v>45121</v>
      </c>
      <c r="C24" s="22" t="s">
        <v>78</v>
      </c>
      <c r="D24" s="22" t="s">
        <v>71</v>
      </c>
      <c r="E24" s="22" t="s">
        <v>72</v>
      </c>
      <c r="F24" s="27">
        <v>2023</v>
      </c>
      <c r="G24" s="22" t="s">
        <v>43</v>
      </c>
      <c r="H24" s="22" t="s">
        <v>104</v>
      </c>
      <c r="I24" s="22" t="s">
        <v>50</v>
      </c>
      <c r="J24" s="45">
        <v>15000</v>
      </c>
      <c r="K24" s="1">
        <v>1</v>
      </c>
      <c r="L24" s="2">
        <v>10</v>
      </c>
      <c r="M24" s="45">
        <v>13500</v>
      </c>
      <c r="N24" s="45">
        <v>9114</v>
      </c>
      <c r="O24" s="45">
        <v>4386</v>
      </c>
      <c r="P24" s="3">
        <v>32.49</v>
      </c>
      <c r="Q24" s="32" t="s">
        <v>28</v>
      </c>
      <c r="R24" s="32" t="s">
        <v>45</v>
      </c>
      <c r="S24" s="32" t="s">
        <v>30</v>
      </c>
      <c r="T24" s="32" t="s">
        <v>41</v>
      </c>
      <c r="U24" s="38">
        <v>5</v>
      </c>
      <c r="V24" s="9"/>
    </row>
    <row r="25" spans="1:22" x14ac:dyDescent="0.35">
      <c r="A25" s="18" t="s">
        <v>105</v>
      </c>
      <c r="B25" s="8">
        <v>45470</v>
      </c>
      <c r="C25" s="23" t="s">
        <v>33</v>
      </c>
      <c r="D25" s="23" t="s">
        <v>87</v>
      </c>
      <c r="E25" s="23" t="s">
        <v>35</v>
      </c>
      <c r="F25" s="28">
        <v>2024</v>
      </c>
      <c r="G25" s="23" t="s">
        <v>36</v>
      </c>
      <c r="H25" s="23" t="s">
        <v>106</v>
      </c>
      <c r="I25" s="23" t="s">
        <v>38</v>
      </c>
      <c r="J25" s="46">
        <v>12000</v>
      </c>
      <c r="K25" s="4">
        <v>9</v>
      </c>
      <c r="L25" s="5">
        <v>0</v>
      </c>
      <c r="M25" s="46">
        <v>108000</v>
      </c>
      <c r="N25" s="46">
        <v>75031</v>
      </c>
      <c r="O25" s="46">
        <v>32969</v>
      </c>
      <c r="P25" s="6">
        <v>30.53</v>
      </c>
      <c r="Q25" s="33" t="s">
        <v>28</v>
      </c>
      <c r="R25" s="33" t="s">
        <v>29</v>
      </c>
      <c r="S25" s="33" t="s">
        <v>30</v>
      </c>
      <c r="T25" s="33" t="s">
        <v>41</v>
      </c>
      <c r="U25" s="39">
        <v>1</v>
      </c>
      <c r="V25" s="9"/>
    </row>
    <row r="26" spans="1:22" x14ac:dyDescent="0.35">
      <c r="A26" s="17" t="s">
        <v>107</v>
      </c>
      <c r="B26" s="7">
        <v>45510</v>
      </c>
      <c r="C26" s="22" t="s">
        <v>83</v>
      </c>
      <c r="D26" s="22" t="s">
        <v>108</v>
      </c>
      <c r="E26" s="22" t="s">
        <v>72</v>
      </c>
      <c r="F26" s="27">
        <v>2024</v>
      </c>
      <c r="G26" s="22" t="s">
        <v>61</v>
      </c>
      <c r="H26" s="22" t="s">
        <v>66</v>
      </c>
      <c r="I26" s="22" t="s">
        <v>38</v>
      </c>
      <c r="J26" s="45">
        <v>11000</v>
      </c>
      <c r="K26" s="1">
        <v>10</v>
      </c>
      <c r="L26" s="2">
        <v>0</v>
      </c>
      <c r="M26" s="45">
        <v>110000</v>
      </c>
      <c r="N26" s="45">
        <v>72082</v>
      </c>
      <c r="O26" s="45">
        <v>37918</v>
      </c>
      <c r="P26" s="3">
        <v>34.47</v>
      </c>
      <c r="Q26" s="32" t="s">
        <v>51</v>
      </c>
      <c r="R26" s="32" t="s">
        <v>29</v>
      </c>
      <c r="S26" s="32" t="s">
        <v>85</v>
      </c>
      <c r="T26" s="32" t="s">
        <v>41</v>
      </c>
      <c r="U26" s="38">
        <v>2</v>
      </c>
      <c r="V26" s="9"/>
    </row>
    <row r="27" spans="1:22" x14ac:dyDescent="0.35">
      <c r="A27" s="18" t="s">
        <v>109</v>
      </c>
      <c r="B27" s="8">
        <v>45612</v>
      </c>
      <c r="C27" s="23" t="s">
        <v>53</v>
      </c>
      <c r="D27" s="23" t="s">
        <v>110</v>
      </c>
      <c r="E27" s="23" t="s">
        <v>24</v>
      </c>
      <c r="F27" s="28">
        <v>2024</v>
      </c>
      <c r="G27" s="23" t="s">
        <v>43</v>
      </c>
      <c r="H27" s="23" t="s">
        <v>104</v>
      </c>
      <c r="I27" s="23" t="s">
        <v>50</v>
      </c>
      <c r="J27" s="46">
        <v>15000</v>
      </c>
      <c r="K27" s="4">
        <v>5</v>
      </c>
      <c r="L27" s="5">
        <v>5</v>
      </c>
      <c r="M27" s="46">
        <v>71250</v>
      </c>
      <c r="N27" s="46">
        <v>40773</v>
      </c>
      <c r="O27" s="46">
        <v>30477</v>
      </c>
      <c r="P27" s="6">
        <v>42.77</v>
      </c>
      <c r="Q27" s="33" t="s">
        <v>81</v>
      </c>
      <c r="R27" s="33" t="s">
        <v>67</v>
      </c>
      <c r="S27" s="33" t="s">
        <v>57</v>
      </c>
      <c r="T27" s="33" t="s">
        <v>31</v>
      </c>
      <c r="U27" s="39">
        <v>4</v>
      </c>
      <c r="V27" s="9"/>
    </row>
    <row r="28" spans="1:22" x14ac:dyDescent="0.35">
      <c r="A28" s="17" t="s">
        <v>111</v>
      </c>
      <c r="B28" s="7">
        <v>45563</v>
      </c>
      <c r="C28" s="22" t="s">
        <v>53</v>
      </c>
      <c r="D28" s="22" t="s">
        <v>79</v>
      </c>
      <c r="E28" s="22" t="s">
        <v>72</v>
      </c>
      <c r="F28" s="27">
        <v>2024</v>
      </c>
      <c r="G28" s="22" t="s">
        <v>43</v>
      </c>
      <c r="H28" s="22" t="s">
        <v>80</v>
      </c>
      <c r="I28" s="22" t="s">
        <v>55</v>
      </c>
      <c r="J28" s="45">
        <v>25000</v>
      </c>
      <c r="K28" s="1">
        <v>2</v>
      </c>
      <c r="L28" s="2">
        <v>10</v>
      </c>
      <c r="M28" s="45">
        <v>45000</v>
      </c>
      <c r="N28" s="45">
        <v>26381</v>
      </c>
      <c r="O28" s="45">
        <v>18619</v>
      </c>
      <c r="P28" s="3">
        <v>41.38</v>
      </c>
      <c r="Q28" s="32" t="s">
        <v>81</v>
      </c>
      <c r="R28" s="32" t="s">
        <v>56</v>
      </c>
      <c r="S28" s="32" t="s">
        <v>57</v>
      </c>
      <c r="T28" s="32" t="s">
        <v>31</v>
      </c>
      <c r="U28" s="38">
        <v>3</v>
      </c>
      <c r="V28" s="9"/>
    </row>
    <row r="29" spans="1:22" x14ac:dyDescent="0.35">
      <c r="A29" s="18" t="s">
        <v>112</v>
      </c>
      <c r="B29" s="8">
        <v>45218</v>
      </c>
      <c r="C29" s="23" t="s">
        <v>33</v>
      </c>
      <c r="D29" s="23" t="s">
        <v>23</v>
      </c>
      <c r="E29" s="23" t="s">
        <v>24</v>
      </c>
      <c r="F29" s="28">
        <v>2023</v>
      </c>
      <c r="G29" s="23" t="s">
        <v>61</v>
      </c>
      <c r="H29" s="23" t="s">
        <v>113</v>
      </c>
      <c r="I29" s="23" t="s">
        <v>38</v>
      </c>
      <c r="J29" s="46">
        <v>3500</v>
      </c>
      <c r="K29" s="4">
        <v>9</v>
      </c>
      <c r="L29" s="5">
        <v>15</v>
      </c>
      <c r="M29" s="46">
        <v>26775</v>
      </c>
      <c r="N29" s="46">
        <v>16103</v>
      </c>
      <c r="O29" s="46">
        <v>10672</v>
      </c>
      <c r="P29" s="6">
        <v>39.86</v>
      </c>
      <c r="Q29" s="33" t="s">
        <v>75</v>
      </c>
      <c r="R29" s="33" t="s">
        <v>76</v>
      </c>
      <c r="S29" s="33" t="s">
        <v>85</v>
      </c>
      <c r="T29" s="33" t="s">
        <v>31</v>
      </c>
      <c r="U29" s="39">
        <v>2</v>
      </c>
      <c r="V29" s="9"/>
    </row>
    <row r="30" spans="1:22" x14ac:dyDescent="0.35">
      <c r="A30" s="17" t="s">
        <v>114</v>
      </c>
      <c r="B30" s="7">
        <v>45197</v>
      </c>
      <c r="C30" s="22" t="s">
        <v>33</v>
      </c>
      <c r="D30" s="22" t="s">
        <v>79</v>
      </c>
      <c r="E30" s="22" t="s">
        <v>72</v>
      </c>
      <c r="F30" s="27">
        <v>2023</v>
      </c>
      <c r="G30" s="22" t="s">
        <v>36</v>
      </c>
      <c r="H30" s="22" t="s">
        <v>26</v>
      </c>
      <c r="I30" s="22" t="s">
        <v>27</v>
      </c>
      <c r="J30" s="45">
        <v>5000</v>
      </c>
      <c r="K30" s="1">
        <v>9</v>
      </c>
      <c r="L30" s="2">
        <v>0</v>
      </c>
      <c r="M30" s="45">
        <v>45000</v>
      </c>
      <c r="N30" s="45">
        <v>26833</v>
      </c>
      <c r="O30" s="45">
        <v>18167</v>
      </c>
      <c r="P30" s="3">
        <v>40.369999999999997</v>
      </c>
      <c r="Q30" s="32" t="s">
        <v>75</v>
      </c>
      <c r="R30" s="32" t="s">
        <v>56</v>
      </c>
      <c r="S30" s="32" t="s">
        <v>57</v>
      </c>
      <c r="T30" s="32" t="s">
        <v>41</v>
      </c>
      <c r="U30" s="38">
        <v>5</v>
      </c>
      <c r="V30" s="9"/>
    </row>
    <row r="31" spans="1:22" x14ac:dyDescent="0.35">
      <c r="A31" s="18" t="s">
        <v>115</v>
      </c>
      <c r="B31" s="8">
        <v>45427</v>
      </c>
      <c r="C31" s="23" t="s">
        <v>22</v>
      </c>
      <c r="D31" s="23" t="s">
        <v>116</v>
      </c>
      <c r="E31" s="23" t="s">
        <v>35</v>
      </c>
      <c r="F31" s="28">
        <v>2024</v>
      </c>
      <c r="G31" s="23" t="s">
        <v>61</v>
      </c>
      <c r="H31" s="23" t="s">
        <v>117</v>
      </c>
      <c r="I31" s="23" t="s">
        <v>50</v>
      </c>
      <c r="J31" s="46">
        <v>8000</v>
      </c>
      <c r="K31" s="4">
        <v>2</v>
      </c>
      <c r="L31" s="5">
        <v>15</v>
      </c>
      <c r="M31" s="46">
        <v>13600</v>
      </c>
      <c r="N31" s="46">
        <v>8459</v>
      </c>
      <c r="O31" s="46">
        <v>5141</v>
      </c>
      <c r="P31" s="6">
        <v>37.799999999999997</v>
      </c>
      <c r="Q31" s="33" t="s">
        <v>81</v>
      </c>
      <c r="R31" s="33" t="s">
        <v>76</v>
      </c>
      <c r="S31" s="33" t="s">
        <v>30</v>
      </c>
      <c r="T31" s="33" t="s">
        <v>31</v>
      </c>
      <c r="U31" s="39">
        <v>3</v>
      </c>
      <c r="V31" s="9"/>
    </row>
    <row r="32" spans="1:22" x14ac:dyDescent="0.35">
      <c r="A32" s="17" t="s">
        <v>118</v>
      </c>
      <c r="B32" s="7">
        <v>45092</v>
      </c>
      <c r="C32" s="22" t="s">
        <v>33</v>
      </c>
      <c r="D32" s="22" t="s">
        <v>87</v>
      </c>
      <c r="E32" s="22" t="s">
        <v>35</v>
      </c>
      <c r="F32" s="27">
        <v>2023</v>
      </c>
      <c r="G32" s="22" t="s">
        <v>43</v>
      </c>
      <c r="H32" s="22" t="s">
        <v>119</v>
      </c>
      <c r="I32" s="22" t="s">
        <v>63</v>
      </c>
      <c r="J32" s="45">
        <v>16000</v>
      </c>
      <c r="K32" s="1">
        <v>7</v>
      </c>
      <c r="L32" s="2">
        <v>10</v>
      </c>
      <c r="M32" s="45">
        <v>100800</v>
      </c>
      <c r="N32" s="45">
        <v>55606</v>
      </c>
      <c r="O32" s="45">
        <v>45194</v>
      </c>
      <c r="P32" s="3">
        <v>44.84</v>
      </c>
      <c r="Q32" s="32" t="s">
        <v>28</v>
      </c>
      <c r="R32" s="32" t="s">
        <v>56</v>
      </c>
      <c r="S32" s="32" t="s">
        <v>85</v>
      </c>
      <c r="T32" s="32" t="s">
        <v>41</v>
      </c>
      <c r="U32" s="38">
        <v>5</v>
      </c>
      <c r="V32" s="9"/>
    </row>
    <row r="33" spans="1:22" x14ac:dyDescent="0.35">
      <c r="A33" s="18" t="s">
        <v>120</v>
      </c>
      <c r="B33" s="8">
        <v>45492</v>
      </c>
      <c r="C33" s="23" t="s">
        <v>78</v>
      </c>
      <c r="D33" s="23" t="s">
        <v>71</v>
      </c>
      <c r="E33" s="23" t="s">
        <v>72</v>
      </c>
      <c r="F33" s="28">
        <v>2024</v>
      </c>
      <c r="G33" s="23" t="s">
        <v>36</v>
      </c>
      <c r="H33" s="23" t="s">
        <v>113</v>
      </c>
      <c r="I33" s="23" t="s">
        <v>38</v>
      </c>
      <c r="J33" s="46">
        <v>3500</v>
      </c>
      <c r="K33" s="4">
        <v>3</v>
      </c>
      <c r="L33" s="5">
        <v>0</v>
      </c>
      <c r="M33" s="46">
        <v>10500</v>
      </c>
      <c r="N33" s="46">
        <v>6325</v>
      </c>
      <c r="O33" s="46">
        <v>4175</v>
      </c>
      <c r="P33" s="6">
        <v>39.76</v>
      </c>
      <c r="Q33" s="33" t="s">
        <v>28</v>
      </c>
      <c r="R33" s="33" t="s">
        <v>45</v>
      </c>
      <c r="S33" s="33" t="s">
        <v>68</v>
      </c>
      <c r="T33" s="33" t="s">
        <v>31</v>
      </c>
      <c r="U33" s="39">
        <v>3</v>
      </c>
      <c r="V33" s="9"/>
    </row>
    <row r="34" spans="1:22" x14ac:dyDescent="0.35">
      <c r="A34" s="17" t="s">
        <v>121</v>
      </c>
      <c r="B34" s="7">
        <v>45500</v>
      </c>
      <c r="C34" s="22" t="s">
        <v>53</v>
      </c>
      <c r="D34" s="22" t="s">
        <v>71</v>
      </c>
      <c r="E34" s="22" t="s">
        <v>72</v>
      </c>
      <c r="F34" s="27">
        <v>2024</v>
      </c>
      <c r="G34" s="22" t="s">
        <v>36</v>
      </c>
      <c r="H34" s="22" t="s">
        <v>119</v>
      </c>
      <c r="I34" s="22" t="s">
        <v>63</v>
      </c>
      <c r="J34" s="45">
        <v>16000</v>
      </c>
      <c r="K34" s="1">
        <v>3</v>
      </c>
      <c r="L34" s="2">
        <v>0</v>
      </c>
      <c r="M34" s="45">
        <v>48000</v>
      </c>
      <c r="N34" s="45">
        <v>33455</v>
      </c>
      <c r="O34" s="45">
        <v>14545</v>
      </c>
      <c r="P34" s="3">
        <v>30.3</v>
      </c>
      <c r="Q34" s="32" t="s">
        <v>39</v>
      </c>
      <c r="R34" s="32" t="s">
        <v>67</v>
      </c>
      <c r="S34" s="32" t="s">
        <v>30</v>
      </c>
      <c r="T34" s="32" t="s">
        <v>41</v>
      </c>
      <c r="U34" s="38">
        <v>4</v>
      </c>
      <c r="V34" s="9"/>
    </row>
    <row r="35" spans="1:22" x14ac:dyDescent="0.35">
      <c r="A35" s="18" t="s">
        <v>122</v>
      </c>
      <c r="B35" s="8">
        <v>45612</v>
      </c>
      <c r="C35" s="23" t="s">
        <v>53</v>
      </c>
      <c r="D35" s="23" t="s">
        <v>110</v>
      </c>
      <c r="E35" s="23" t="s">
        <v>24</v>
      </c>
      <c r="F35" s="28">
        <v>2024</v>
      </c>
      <c r="G35" s="23" t="s">
        <v>36</v>
      </c>
      <c r="H35" s="23" t="s">
        <v>123</v>
      </c>
      <c r="I35" s="23" t="s">
        <v>38</v>
      </c>
      <c r="J35" s="46">
        <v>14000</v>
      </c>
      <c r="K35" s="4">
        <v>3</v>
      </c>
      <c r="L35" s="5">
        <v>20</v>
      </c>
      <c r="M35" s="46">
        <v>33600</v>
      </c>
      <c r="N35" s="46">
        <v>22486</v>
      </c>
      <c r="O35" s="46">
        <v>11114</v>
      </c>
      <c r="P35" s="6">
        <v>33.08</v>
      </c>
      <c r="Q35" s="33" t="s">
        <v>51</v>
      </c>
      <c r="R35" s="33" t="s">
        <v>76</v>
      </c>
      <c r="S35" s="33" t="s">
        <v>40</v>
      </c>
      <c r="T35" s="33" t="s">
        <v>31</v>
      </c>
      <c r="U35" s="39">
        <v>4</v>
      </c>
      <c r="V35" s="9"/>
    </row>
    <row r="36" spans="1:22" x14ac:dyDescent="0.35">
      <c r="A36" s="17" t="s">
        <v>124</v>
      </c>
      <c r="B36" s="7">
        <v>45285</v>
      </c>
      <c r="C36" s="22" t="s">
        <v>90</v>
      </c>
      <c r="D36" s="22" t="s">
        <v>97</v>
      </c>
      <c r="E36" s="22" t="s">
        <v>24</v>
      </c>
      <c r="F36" s="27">
        <v>2023</v>
      </c>
      <c r="G36" s="22" t="s">
        <v>43</v>
      </c>
      <c r="H36" s="22" t="s">
        <v>104</v>
      </c>
      <c r="I36" s="22" t="s">
        <v>50</v>
      </c>
      <c r="J36" s="45">
        <v>15000</v>
      </c>
      <c r="K36" s="1">
        <v>4</v>
      </c>
      <c r="L36" s="2">
        <v>0</v>
      </c>
      <c r="M36" s="45">
        <v>60000</v>
      </c>
      <c r="N36" s="45">
        <v>39732</v>
      </c>
      <c r="O36" s="45">
        <v>20268</v>
      </c>
      <c r="P36" s="3">
        <v>33.78</v>
      </c>
      <c r="Q36" s="32" t="s">
        <v>51</v>
      </c>
      <c r="R36" s="32" t="s">
        <v>45</v>
      </c>
      <c r="S36" s="32" t="s">
        <v>57</v>
      </c>
      <c r="T36" s="32" t="s">
        <v>41</v>
      </c>
      <c r="U36" s="38">
        <v>3</v>
      </c>
      <c r="V36" s="9"/>
    </row>
    <row r="37" spans="1:22" x14ac:dyDescent="0.35">
      <c r="A37" s="18" t="s">
        <v>125</v>
      </c>
      <c r="B37" s="8">
        <v>45583</v>
      </c>
      <c r="C37" s="23" t="s">
        <v>78</v>
      </c>
      <c r="D37" s="23" t="s">
        <v>23</v>
      </c>
      <c r="E37" s="23" t="s">
        <v>24</v>
      </c>
      <c r="F37" s="28">
        <v>2024</v>
      </c>
      <c r="G37" s="23" t="s">
        <v>61</v>
      </c>
      <c r="H37" s="23" t="s">
        <v>126</v>
      </c>
      <c r="I37" s="23" t="s">
        <v>55</v>
      </c>
      <c r="J37" s="46">
        <v>12000</v>
      </c>
      <c r="K37" s="4">
        <v>9</v>
      </c>
      <c r="L37" s="5">
        <v>0</v>
      </c>
      <c r="M37" s="46">
        <v>108000</v>
      </c>
      <c r="N37" s="46">
        <v>76644</v>
      </c>
      <c r="O37" s="46">
        <v>31356</v>
      </c>
      <c r="P37" s="6">
        <v>29.03</v>
      </c>
      <c r="Q37" s="33" t="s">
        <v>28</v>
      </c>
      <c r="R37" s="33" t="s">
        <v>45</v>
      </c>
      <c r="S37" s="33" t="s">
        <v>68</v>
      </c>
      <c r="T37" s="33" t="s">
        <v>31</v>
      </c>
      <c r="U37" s="39">
        <v>1</v>
      </c>
      <c r="V37" s="9"/>
    </row>
    <row r="38" spans="1:22" x14ac:dyDescent="0.35">
      <c r="A38" s="17" t="s">
        <v>127</v>
      </c>
      <c r="B38" s="7">
        <v>45537</v>
      </c>
      <c r="C38" s="22" t="s">
        <v>90</v>
      </c>
      <c r="D38" s="22" t="s">
        <v>79</v>
      </c>
      <c r="E38" s="22" t="s">
        <v>72</v>
      </c>
      <c r="F38" s="27">
        <v>2024</v>
      </c>
      <c r="G38" s="22" t="s">
        <v>36</v>
      </c>
      <c r="H38" s="22" t="s">
        <v>62</v>
      </c>
      <c r="I38" s="22" t="s">
        <v>63</v>
      </c>
      <c r="J38" s="45">
        <v>5000</v>
      </c>
      <c r="K38" s="1">
        <v>6</v>
      </c>
      <c r="L38" s="2">
        <v>5</v>
      </c>
      <c r="M38" s="45">
        <v>28500</v>
      </c>
      <c r="N38" s="45">
        <v>18612</v>
      </c>
      <c r="O38" s="45">
        <v>9888</v>
      </c>
      <c r="P38" s="3">
        <v>34.69</v>
      </c>
      <c r="Q38" s="32" t="s">
        <v>75</v>
      </c>
      <c r="R38" s="32" t="s">
        <v>76</v>
      </c>
      <c r="S38" s="32" t="s">
        <v>40</v>
      </c>
      <c r="T38" s="32" t="s">
        <v>41</v>
      </c>
      <c r="U38" s="38">
        <v>1</v>
      </c>
      <c r="V38" s="9"/>
    </row>
    <row r="39" spans="1:22" x14ac:dyDescent="0.35">
      <c r="A39" s="18" t="s">
        <v>128</v>
      </c>
      <c r="B39" s="8">
        <v>45652</v>
      </c>
      <c r="C39" s="23" t="s">
        <v>33</v>
      </c>
      <c r="D39" s="23" t="s">
        <v>97</v>
      </c>
      <c r="E39" s="23" t="s">
        <v>24</v>
      </c>
      <c r="F39" s="28">
        <v>2024</v>
      </c>
      <c r="G39" s="23" t="s">
        <v>43</v>
      </c>
      <c r="H39" s="23" t="s">
        <v>93</v>
      </c>
      <c r="I39" s="23" t="s">
        <v>63</v>
      </c>
      <c r="J39" s="46">
        <v>14000</v>
      </c>
      <c r="K39" s="4">
        <v>9</v>
      </c>
      <c r="L39" s="5">
        <v>20</v>
      </c>
      <c r="M39" s="46">
        <v>100800</v>
      </c>
      <c r="N39" s="46">
        <v>64667</v>
      </c>
      <c r="O39" s="46">
        <v>36133</v>
      </c>
      <c r="P39" s="6">
        <v>35.85</v>
      </c>
      <c r="Q39" s="33" t="s">
        <v>39</v>
      </c>
      <c r="R39" s="33" t="s">
        <v>45</v>
      </c>
      <c r="S39" s="33" t="s">
        <v>40</v>
      </c>
      <c r="T39" s="33" t="s">
        <v>41</v>
      </c>
      <c r="U39" s="39">
        <v>5</v>
      </c>
      <c r="V39" s="9"/>
    </row>
    <row r="40" spans="1:22" x14ac:dyDescent="0.35">
      <c r="A40" s="17" t="s">
        <v>129</v>
      </c>
      <c r="B40" s="7">
        <v>45248</v>
      </c>
      <c r="C40" s="22" t="s">
        <v>53</v>
      </c>
      <c r="D40" s="22" t="s">
        <v>110</v>
      </c>
      <c r="E40" s="22" t="s">
        <v>24</v>
      </c>
      <c r="F40" s="27">
        <v>2023</v>
      </c>
      <c r="G40" s="22" t="s">
        <v>36</v>
      </c>
      <c r="H40" s="22" t="s">
        <v>84</v>
      </c>
      <c r="I40" s="22" t="s">
        <v>27</v>
      </c>
      <c r="J40" s="45">
        <v>8000</v>
      </c>
      <c r="K40" s="1">
        <v>9</v>
      </c>
      <c r="L40" s="2">
        <v>0</v>
      </c>
      <c r="M40" s="45">
        <v>72000</v>
      </c>
      <c r="N40" s="45">
        <v>47763</v>
      </c>
      <c r="O40" s="45">
        <v>24237</v>
      </c>
      <c r="P40" s="3">
        <v>33.659999999999997</v>
      </c>
      <c r="Q40" s="32" t="s">
        <v>81</v>
      </c>
      <c r="R40" s="32" t="s">
        <v>67</v>
      </c>
      <c r="S40" s="32" t="s">
        <v>57</v>
      </c>
      <c r="T40" s="32" t="s">
        <v>31</v>
      </c>
      <c r="U40" s="38">
        <v>4</v>
      </c>
      <c r="V40" s="9"/>
    </row>
    <row r="41" spans="1:22" x14ac:dyDescent="0.35">
      <c r="A41" s="18" t="s">
        <v>130</v>
      </c>
      <c r="B41" s="8">
        <v>45607</v>
      </c>
      <c r="C41" s="23" t="s">
        <v>90</v>
      </c>
      <c r="D41" s="23" t="s">
        <v>110</v>
      </c>
      <c r="E41" s="23" t="s">
        <v>24</v>
      </c>
      <c r="F41" s="28">
        <v>2024</v>
      </c>
      <c r="G41" s="23" t="s">
        <v>61</v>
      </c>
      <c r="H41" s="23" t="s">
        <v>131</v>
      </c>
      <c r="I41" s="23" t="s">
        <v>63</v>
      </c>
      <c r="J41" s="46">
        <v>10000</v>
      </c>
      <c r="K41" s="4">
        <v>10</v>
      </c>
      <c r="L41" s="5">
        <v>10</v>
      </c>
      <c r="M41" s="46">
        <v>90000</v>
      </c>
      <c r="N41" s="46">
        <v>54105</v>
      </c>
      <c r="O41" s="46">
        <v>35895</v>
      </c>
      <c r="P41" s="6">
        <v>39.880000000000003</v>
      </c>
      <c r="Q41" s="33" t="s">
        <v>75</v>
      </c>
      <c r="R41" s="33" t="s">
        <v>76</v>
      </c>
      <c r="S41" s="33" t="s">
        <v>57</v>
      </c>
      <c r="T41" s="33" t="s">
        <v>31</v>
      </c>
      <c r="U41" s="39">
        <v>4</v>
      </c>
      <c r="V41" s="9"/>
    </row>
    <row r="42" spans="1:22" x14ac:dyDescent="0.35">
      <c r="A42" s="17" t="s">
        <v>132</v>
      </c>
      <c r="B42" s="7">
        <v>45520</v>
      </c>
      <c r="C42" s="22" t="s">
        <v>78</v>
      </c>
      <c r="D42" s="22" t="s">
        <v>108</v>
      </c>
      <c r="E42" s="22" t="s">
        <v>72</v>
      </c>
      <c r="F42" s="27">
        <v>2024</v>
      </c>
      <c r="G42" s="22" t="s">
        <v>36</v>
      </c>
      <c r="H42" s="22" t="s">
        <v>54</v>
      </c>
      <c r="I42" s="22" t="s">
        <v>55</v>
      </c>
      <c r="J42" s="45">
        <v>18000</v>
      </c>
      <c r="K42" s="1">
        <v>8</v>
      </c>
      <c r="L42" s="2">
        <v>5</v>
      </c>
      <c r="M42" s="45">
        <v>136800</v>
      </c>
      <c r="N42" s="45">
        <v>85523</v>
      </c>
      <c r="O42" s="45">
        <v>51277</v>
      </c>
      <c r="P42" s="3">
        <v>37.479999999999997</v>
      </c>
      <c r="Q42" s="32" t="s">
        <v>39</v>
      </c>
      <c r="R42" s="32" t="s">
        <v>29</v>
      </c>
      <c r="S42" s="32" t="s">
        <v>40</v>
      </c>
      <c r="T42" s="32" t="s">
        <v>31</v>
      </c>
      <c r="U42" s="38">
        <v>3</v>
      </c>
      <c r="V42" s="9"/>
    </row>
    <row r="43" spans="1:22" x14ac:dyDescent="0.35">
      <c r="A43" s="18" t="s">
        <v>133</v>
      </c>
      <c r="B43" s="8">
        <v>45454</v>
      </c>
      <c r="C43" s="23" t="s">
        <v>83</v>
      </c>
      <c r="D43" s="23" t="s">
        <v>87</v>
      </c>
      <c r="E43" s="23" t="s">
        <v>35</v>
      </c>
      <c r="F43" s="28">
        <v>2024</v>
      </c>
      <c r="G43" s="23" t="s">
        <v>36</v>
      </c>
      <c r="H43" s="23" t="s">
        <v>54</v>
      </c>
      <c r="I43" s="23" t="s">
        <v>55</v>
      </c>
      <c r="J43" s="46">
        <v>18000</v>
      </c>
      <c r="K43" s="4">
        <v>2</v>
      </c>
      <c r="L43" s="5">
        <v>20</v>
      </c>
      <c r="M43" s="46">
        <v>28800</v>
      </c>
      <c r="N43" s="46">
        <v>20501</v>
      </c>
      <c r="O43" s="46">
        <v>8299</v>
      </c>
      <c r="P43" s="6">
        <v>28.82</v>
      </c>
      <c r="Q43" s="33" t="s">
        <v>39</v>
      </c>
      <c r="R43" s="33" t="s">
        <v>45</v>
      </c>
      <c r="S43" s="33" t="s">
        <v>68</v>
      </c>
      <c r="T43" s="33" t="s">
        <v>31</v>
      </c>
      <c r="U43" s="39">
        <v>1</v>
      </c>
      <c r="V43" s="9"/>
    </row>
    <row r="44" spans="1:22" x14ac:dyDescent="0.35">
      <c r="A44" s="17" t="s">
        <v>134</v>
      </c>
      <c r="B44" s="7">
        <v>44974</v>
      </c>
      <c r="C44" s="22" t="s">
        <v>78</v>
      </c>
      <c r="D44" s="22" t="s">
        <v>74</v>
      </c>
      <c r="E44" s="22" t="s">
        <v>48</v>
      </c>
      <c r="F44" s="27">
        <v>2023</v>
      </c>
      <c r="G44" s="22" t="s">
        <v>36</v>
      </c>
      <c r="H44" s="22" t="s">
        <v>113</v>
      </c>
      <c r="I44" s="22" t="s">
        <v>38</v>
      </c>
      <c r="J44" s="45">
        <v>3500</v>
      </c>
      <c r="K44" s="1">
        <v>10</v>
      </c>
      <c r="L44" s="2">
        <v>20</v>
      </c>
      <c r="M44" s="45">
        <v>28000</v>
      </c>
      <c r="N44" s="45">
        <v>19058</v>
      </c>
      <c r="O44" s="45">
        <v>8942</v>
      </c>
      <c r="P44" s="3">
        <v>31.94</v>
      </c>
      <c r="Q44" s="32" t="s">
        <v>51</v>
      </c>
      <c r="R44" s="32" t="s">
        <v>67</v>
      </c>
      <c r="S44" s="32" t="s">
        <v>85</v>
      </c>
      <c r="T44" s="32" t="s">
        <v>41</v>
      </c>
      <c r="U44" s="38">
        <v>4</v>
      </c>
      <c r="V44" s="9"/>
    </row>
    <row r="45" spans="1:22" x14ac:dyDescent="0.35">
      <c r="A45" s="18" t="s">
        <v>135</v>
      </c>
      <c r="B45" s="8">
        <v>45336</v>
      </c>
      <c r="C45" s="23" t="s">
        <v>22</v>
      </c>
      <c r="D45" s="23" t="s">
        <v>74</v>
      </c>
      <c r="E45" s="23" t="s">
        <v>48</v>
      </c>
      <c r="F45" s="28">
        <v>2024</v>
      </c>
      <c r="G45" s="23" t="s">
        <v>36</v>
      </c>
      <c r="H45" s="23" t="s">
        <v>37</v>
      </c>
      <c r="I45" s="23" t="s">
        <v>38</v>
      </c>
      <c r="J45" s="46">
        <v>10000</v>
      </c>
      <c r="K45" s="4">
        <v>1</v>
      </c>
      <c r="L45" s="5">
        <v>20</v>
      </c>
      <c r="M45" s="46">
        <v>8000</v>
      </c>
      <c r="N45" s="46">
        <v>5570</v>
      </c>
      <c r="O45" s="46">
        <v>2430</v>
      </c>
      <c r="P45" s="6">
        <v>30.38</v>
      </c>
      <c r="Q45" s="33" t="s">
        <v>28</v>
      </c>
      <c r="R45" s="33" t="s">
        <v>67</v>
      </c>
      <c r="S45" s="33" t="s">
        <v>68</v>
      </c>
      <c r="T45" s="33" t="s">
        <v>41</v>
      </c>
      <c r="U45" s="39">
        <v>1</v>
      </c>
      <c r="V45" s="9"/>
    </row>
    <row r="46" spans="1:22" x14ac:dyDescent="0.35">
      <c r="A46" s="17" t="s">
        <v>136</v>
      </c>
      <c r="B46" s="7">
        <v>45497</v>
      </c>
      <c r="C46" s="22" t="s">
        <v>22</v>
      </c>
      <c r="D46" s="22" t="s">
        <v>71</v>
      </c>
      <c r="E46" s="22" t="s">
        <v>72</v>
      </c>
      <c r="F46" s="27">
        <v>2024</v>
      </c>
      <c r="G46" s="22" t="s">
        <v>61</v>
      </c>
      <c r="H46" s="22" t="s">
        <v>106</v>
      </c>
      <c r="I46" s="22" t="s">
        <v>38</v>
      </c>
      <c r="J46" s="45">
        <v>12000</v>
      </c>
      <c r="K46" s="1">
        <v>8</v>
      </c>
      <c r="L46" s="2">
        <v>0</v>
      </c>
      <c r="M46" s="45">
        <v>96000</v>
      </c>
      <c r="N46" s="45">
        <v>65879</v>
      </c>
      <c r="O46" s="45">
        <v>30121</v>
      </c>
      <c r="P46" s="3">
        <v>31.38</v>
      </c>
      <c r="Q46" s="32" t="s">
        <v>75</v>
      </c>
      <c r="R46" s="32" t="s">
        <v>29</v>
      </c>
      <c r="S46" s="32" t="s">
        <v>85</v>
      </c>
      <c r="T46" s="32" t="s">
        <v>41</v>
      </c>
      <c r="U46" s="38">
        <v>5</v>
      </c>
      <c r="V46" s="9"/>
    </row>
    <row r="47" spans="1:22" x14ac:dyDescent="0.35">
      <c r="A47" s="18" t="s">
        <v>137</v>
      </c>
      <c r="B47" s="8">
        <v>45443</v>
      </c>
      <c r="C47" s="23" t="s">
        <v>78</v>
      </c>
      <c r="D47" s="23" t="s">
        <v>116</v>
      </c>
      <c r="E47" s="23" t="s">
        <v>35</v>
      </c>
      <c r="F47" s="28">
        <v>2024</v>
      </c>
      <c r="G47" s="23" t="s">
        <v>36</v>
      </c>
      <c r="H47" s="23" t="s">
        <v>119</v>
      </c>
      <c r="I47" s="23" t="s">
        <v>63</v>
      </c>
      <c r="J47" s="46">
        <v>16000</v>
      </c>
      <c r="K47" s="4">
        <v>8</v>
      </c>
      <c r="L47" s="5">
        <v>0</v>
      </c>
      <c r="M47" s="46">
        <v>128000</v>
      </c>
      <c r="N47" s="46">
        <v>86582</v>
      </c>
      <c r="O47" s="46">
        <v>41418</v>
      </c>
      <c r="P47" s="6">
        <v>32.36</v>
      </c>
      <c r="Q47" s="33" t="s">
        <v>51</v>
      </c>
      <c r="R47" s="33" t="s">
        <v>67</v>
      </c>
      <c r="S47" s="33" t="s">
        <v>57</v>
      </c>
      <c r="T47" s="33" t="s">
        <v>41</v>
      </c>
      <c r="U47" s="39">
        <v>5</v>
      </c>
      <c r="V47" s="9"/>
    </row>
    <row r="48" spans="1:22" x14ac:dyDescent="0.35">
      <c r="A48" s="17" t="s">
        <v>138</v>
      </c>
      <c r="B48" s="7">
        <v>45423</v>
      </c>
      <c r="C48" s="22" t="s">
        <v>53</v>
      </c>
      <c r="D48" s="22" t="s">
        <v>116</v>
      </c>
      <c r="E48" s="22" t="s">
        <v>35</v>
      </c>
      <c r="F48" s="27">
        <v>2024</v>
      </c>
      <c r="G48" s="22" t="s">
        <v>61</v>
      </c>
      <c r="H48" s="22" t="s">
        <v>123</v>
      </c>
      <c r="I48" s="22" t="s">
        <v>38</v>
      </c>
      <c r="J48" s="45">
        <v>14000</v>
      </c>
      <c r="K48" s="1">
        <v>8</v>
      </c>
      <c r="L48" s="2">
        <v>0</v>
      </c>
      <c r="M48" s="45">
        <v>112000</v>
      </c>
      <c r="N48" s="45">
        <v>75186</v>
      </c>
      <c r="O48" s="45">
        <v>36814</v>
      </c>
      <c r="P48" s="3">
        <v>32.869999999999997</v>
      </c>
      <c r="Q48" s="32" t="s">
        <v>39</v>
      </c>
      <c r="R48" s="32" t="s">
        <v>45</v>
      </c>
      <c r="S48" s="32" t="s">
        <v>57</v>
      </c>
      <c r="T48" s="32" t="s">
        <v>31</v>
      </c>
      <c r="U48" s="38">
        <v>2</v>
      </c>
      <c r="V48" s="9"/>
    </row>
    <row r="49" spans="1:22" x14ac:dyDescent="0.35">
      <c r="A49" s="18" t="s">
        <v>139</v>
      </c>
      <c r="B49" s="8">
        <v>45081</v>
      </c>
      <c r="C49" s="23" t="s">
        <v>70</v>
      </c>
      <c r="D49" s="23" t="s">
        <v>87</v>
      </c>
      <c r="E49" s="23" t="s">
        <v>35</v>
      </c>
      <c r="F49" s="28">
        <v>2023</v>
      </c>
      <c r="G49" s="23" t="s">
        <v>25</v>
      </c>
      <c r="H49" s="23" t="s">
        <v>113</v>
      </c>
      <c r="I49" s="23" t="s">
        <v>38</v>
      </c>
      <c r="J49" s="46">
        <v>3500</v>
      </c>
      <c r="K49" s="4">
        <v>3</v>
      </c>
      <c r="L49" s="5">
        <v>15</v>
      </c>
      <c r="M49" s="46">
        <v>8925</v>
      </c>
      <c r="N49" s="46">
        <v>5233</v>
      </c>
      <c r="O49" s="46">
        <v>3692</v>
      </c>
      <c r="P49" s="6">
        <v>41.37</v>
      </c>
      <c r="Q49" s="33" t="s">
        <v>51</v>
      </c>
      <c r="R49" s="33" t="s">
        <v>67</v>
      </c>
      <c r="S49" s="33" t="s">
        <v>57</v>
      </c>
      <c r="T49" s="33" t="s">
        <v>41</v>
      </c>
      <c r="U49" s="39">
        <v>1</v>
      </c>
      <c r="V49" s="9"/>
    </row>
    <row r="50" spans="1:22" x14ac:dyDescent="0.35">
      <c r="A50" s="17" t="s">
        <v>140</v>
      </c>
      <c r="B50" s="7">
        <v>45138</v>
      </c>
      <c r="C50" s="22" t="s">
        <v>90</v>
      </c>
      <c r="D50" s="22" t="s">
        <v>71</v>
      </c>
      <c r="E50" s="22" t="s">
        <v>72</v>
      </c>
      <c r="F50" s="27">
        <v>2023</v>
      </c>
      <c r="G50" s="22" t="s">
        <v>43</v>
      </c>
      <c r="H50" s="22" t="s">
        <v>98</v>
      </c>
      <c r="I50" s="22" t="s">
        <v>63</v>
      </c>
      <c r="J50" s="45">
        <v>28000</v>
      </c>
      <c r="K50" s="1">
        <v>10</v>
      </c>
      <c r="L50" s="2">
        <v>15</v>
      </c>
      <c r="M50" s="45">
        <v>238000</v>
      </c>
      <c r="N50" s="45">
        <v>131690</v>
      </c>
      <c r="O50" s="45">
        <v>106310</v>
      </c>
      <c r="P50" s="3">
        <v>44.67</v>
      </c>
      <c r="Q50" s="32" t="s">
        <v>75</v>
      </c>
      <c r="R50" s="32" t="s">
        <v>67</v>
      </c>
      <c r="S50" s="32" t="s">
        <v>40</v>
      </c>
      <c r="T50" s="32" t="s">
        <v>41</v>
      </c>
      <c r="U50" s="38">
        <v>3</v>
      </c>
      <c r="V50" s="9"/>
    </row>
    <row r="51" spans="1:22" x14ac:dyDescent="0.35">
      <c r="A51" s="18" t="s">
        <v>141</v>
      </c>
      <c r="B51" s="8">
        <v>45326</v>
      </c>
      <c r="C51" s="23" t="s">
        <v>70</v>
      </c>
      <c r="D51" s="23" t="s">
        <v>74</v>
      </c>
      <c r="E51" s="23" t="s">
        <v>48</v>
      </c>
      <c r="F51" s="28">
        <v>2024</v>
      </c>
      <c r="G51" s="23" t="s">
        <v>61</v>
      </c>
      <c r="H51" s="23" t="s">
        <v>119</v>
      </c>
      <c r="I51" s="23" t="s">
        <v>63</v>
      </c>
      <c r="J51" s="46">
        <v>16000</v>
      </c>
      <c r="K51" s="4">
        <v>9</v>
      </c>
      <c r="L51" s="5">
        <v>20</v>
      </c>
      <c r="M51" s="46">
        <v>115200</v>
      </c>
      <c r="N51" s="46">
        <v>75174</v>
      </c>
      <c r="O51" s="46">
        <v>40026</v>
      </c>
      <c r="P51" s="6">
        <v>34.74</v>
      </c>
      <c r="Q51" s="33" t="s">
        <v>39</v>
      </c>
      <c r="R51" s="33" t="s">
        <v>67</v>
      </c>
      <c r="S51" s="33" t="s">
        <v>68</v>
      </c>
      <c r="T51" s="33" t="s">
        <v>41</v>
      </c>
      <c r="U51" s="39">
        <v>4</v>
      </c>
      <c r="V51" s="9"/>
    </row>
    <row r="52" spans="1:22" x14ac:dyDescent="0.35">
      <c r="A52" s="17" t="s">
        <v>142</v>
      </c>
      <c r="B52" s="7">
        <v>44956</v>
      </c>
      <c r="C52" s="22" t="s">
        <v>90</v>
      </c>
      <c r="D52" s="22" t="s">
        <v>47</v>
      </c>
      <c r="E52" s="22" t="s">
        <v>48</v>
      </c>
      <c r="F52" s="27">
        <v>2023</v>
      </c>
      <c r="G52" s="22" t="s">
        <v>43</v>
      </c>
      <c r="H52" s="22" t="s">
        <v>62</v>
      </c>
      <c r="I52" s="22" t="s">
        <v>63</v>
      </c>
      <c r="J52" s="45">
        <v>5000</v>
      </c>
      <c r="K52" s="1">
        <v>7</v>
      </c>
      <c r="L52" s="2">
        <v>15</v>
      </c>
      <c r="M52" s="45">
        <v>29750</v>
      </c>
      <c r="N52" s="45">
        <v>17197</v>
      </c>
      <c r="O52" s="45">
        <v>12553</v>
      </c>
      <c r="P52" s="3">
        <v>42.19</v>
      </c>
      <c r="Q52" s="32" t="s">
        <v>51</v>
      </c>
      <c r="R52" s="32" t="s">
        <v>56</v>
      </c>
      <c r="S52" s="32" t="s">
        <v>85</v>
      </c>
      <c r="T52" s="32" t="s">
        <v>41</v>
      </c>
      <c r="U52" s="38">
        <v>5</v>
      </c>
      <c r="V52" s="9"/>
    </row>
    <row r="53" spans="1:22" x14ac:dyDescent="0.35">
      <c r="A53" s="18" t="s">
        <v>143</v>
      </c>
      <c r="B53" s="8">
        <v>45504</v>
      </c>
      <c r="C53" s="23" t="s">
        <v>22</v>
      </c>
      <c r="D53" s="23" t="s">
        <v>71</v>
      </c>
      <c r="E53" s="23" t="s">
        <v>72</v>
      </c>
      <c r="F53" s="28">
        <v>2024</v>
      </c>
      <c r="G53" s="23" t="s">
        <v>25</v>
      </c>
      <c r="H53" s="23" t="s">
        <v>26</v>
      </c>
      <c r="I53" s="23" t="s">
        <v>27</v>
      </c>
      <c r="J53" s="46">
        <v>5000</v>
      </c>
      <c r="K53" s="4">
        <v>7</v>
      </c>
      <c r="L53" s="5">
        <v>0</v>
      </c>
      <c r="M53" s="46">
        <v>35000</v>
      </c>
      <c r="N53" s="46">
        <v>24408</v>
      </c>
      <c r="O53" s="46">
        <v>10592</v>
      </c>
      <c r="P53" s="6">
        <v>30.26</v>
      </c>
      <c r="Q53" s="33" t="s">
        <v>39</v>
      </c>
      <c r="R53" s="33" t="s">
        <v>76</v>
      </c>
      <c r="S53" s="33" t="s">
        <v>57</v>
      </c>
      <c r="T53" s="33" t="s">
        <v>41</v>
      </c>
      <c r="U53" s="39">
        <v>2</v>
      </c>
      <c r="V53" s="9"/>
    </row>
    <row r="54" spans="1:22" x14ac:dyDescent="0.35">
      <c r="A54" s="17" t="s">
        <v>144</v>
      </c>
      <c r="B54" s="7">
        <v>45392</v>
      </c>
      <c r="C54" s="22" t="s">
        <v>22</v>
      </c>
      <c r="D54" s="22" t="s">
        <v>34</v>
      </c>
      <c r="E54" s="22" t="s">
        <v>35</v>
      </c>
      <c r="F54" s="27">
        <v>2024</v>
      </c>
      <c r="G54" s="22" t="s">
        <v>25</v>
      </c>
      <c r="H54" s="22" t="s">
        <v>145</v>
      </c>
      <c r="I54" s="22" t="s">
        <v>50</v>
      </c>
      <c r="J54" s="45">
        <v>12000</v>
      </c>
      <c r="K54" s="1">
        <v>7</v>
      </c>
      <c r="L54" s="2">
        <v>0</v>
      </c>
      <c r="M54" s="45">
        <v>84000</v>
      </c>
      <c r="N54" s="45">
        <v>56939</v>
      </c>
      <c r="O54" s="45">
        <v>27061</v>
      </c>
      <c r="P54" s="3">
        <v>32.22</v>
      </c>
      <c r="Q54" s="32" t="s">
        <v>51</v>
      </c>
      <c r="R54" s="32" t="s">
        <v>45</v>
      </c>
      <c r="S54" s="32" t="s">
        <v>30</v>
      </c>
      <c r="T54" s="32" t="s">
        <v>31</v>
      </c>
      <c r="U54" s="38">
        <v>5</v>
      </c>
      <c r="V54" s="9"/>
    </row>
    <row r="55" spans="1:22" x14ac:dyDescent="0.35">
      <c r="A55" s="18" t="s">
        <v>146</v>
      </c>
      <c r="B55" s="8">
        <v>44980</v>
      </c>
      <c r="C55" s="23" t="s">
        <v>33</v>
      </c>
      <c r="D55" s="23" t="s">
        <v>74</v>
      </c>
      <c r="E55" s="23" t="s">
        <v>48</v>
      </c>
      <c r="F55" s="28">
        <v>2023</v>
      </c>
      <c r="G55" s="23" t="s">
        <v>36</v>
      </c>
      <c r="H55" s="23" t="s">
        <v>104</v>
      </c>
      <c r="I55" s="23" t="s">
        <v>50</v>
      </c>
      <c r="J55" s="46">
        <v>15000</v>
      </c>
      <c r="K55" s="4">
        <v>2</v>
      </c>
      <c r="L55" s="5">
        <v>20</v>
      </c>
      <c r="M55" s="46">
        <v>24000</v>
      </c>
      <c r="N55" s="46">
        <v>17106</v>
      </c>
      <c r="O55" s="46">
        <v>6894</v>
      </c>
      <c r="P55" s="6">
        <v>28.73</v>
      </c>
      <c r="Q55" s="33" t="s">
        <v>28</v>
      </c>
      <c r="R55" s="33" t="s">
        <v>76</v>
      </c>
      <c r="S55" s="33" t="s">
        <v>68</v>
      </c>
      <c r="T55" s="33" t="s">
        <v>31</v>
      </c>
      <c r="U55" s="39">
        <v>5</v>
      </c>
      <c r="V55" s="9"/>
    </row>
    <row r="56" spans="1:22" x14ac:dyDescent="0.35">
      <c r="A56" s="17" t="s">
        <v>147</v>
      </c>
      <c r="B56" s="7">
        <v>45083</v>
      </c>
      <c r="C56" s="22" t="s">
        <v>83</v>
      </c>
      <c r="D56" s="22" t="s">
        <v>87</v>
      </c>
      <c r="E56" s="22" t="s">
        <v>35</v>
      </c>
      <c r="F56" s="27">
        <v>2023</v>
      </c>
      <c r="G56" s="22" t="s">
        <v>61</v>
      </c>
      <c r="H56" s="22" t="s">
        <v>37</v>
      </c>
      <c r="I56" s="22" t="s">
        <v>38</v>
      </c>
      <c r="J56" s="45">
        <v>10000</v>
      </c>
      <c r="K56" s="1">
        <v>8</v>
      </c>
      <c r="L56" s="2">
        <v>15</v>
      </c>
      <c r="M56" s="45">
        <v>68000</v>
      </c>
      <c r="N56" s="45">
        <v>38722</v>
      </c>
      <c r="O56" s="45">
        <v>29278</v>
      </c>
      <c r="P56" s="3">
        <v>43.06</v>
      </c>
      <c r="Q56" s="32" t="s">
        <v>39</v>
      </c>
      <c r="R56" s="32" t="s">
        <v>67</v>
      </c>
      <c r="S56" s="32" t="s">
        <v>57</v>
      </c>
      <c r="T56" s="32" t="s">
        <v>31</v>
      </c>
      <c r="U56" s="38">
        <v>5</v>
      </c>
      <c r="V56" s="9"/>
    </row>
    <row r="57" spans="1:22" x14ac:dyDescent="0.35">
      <c r="A57" s="18" t="s">
        <v>148</v>
      </c>
      <c r="B57" s="8">
        <v>45548</v>
      </c>
      <c r="C57" s="23" t="s">
        <v>78</v>
      </c>
      <c r="D57" s="23" t="s">
        <v>79</v>
      </c>
      <c r="E57" s="23" t="s">
        <v>72</v>
      </c>
      <c r="F57" s="28">
        <v>2024</v>
      </c>
      <c r="G57" s="23" t="s">
        <v>25</v>
      </c>
      <c r="H57" s="23" t="s">
        <v>44</v>
      </c>
      <c r="I57" s="23" t="s">
        <v>27</v>
      </c>
      <c r="J57" s="46">
        <v>6000</v>
      </c>
      <c r="K57" s="4">
        <v>5</v>
      </c>
      <c r="L57" s="5">
        <v>0</v>
      </c>
      <c r="M57" s="46">
        <v>30000</v>
      </c>
      <c r="N57" s="46">
        <v>19451</v>
      </c>
      <c r="O57" s="46">
        <v>10549</v>
      </c>
      <c r="P57" s="6">
        <v>35.159999999999997</v>
      </c>
      <c r="Q57" s="33" t="s">
        <v>81</v>
      </c>
      <c r="R57" s="33" t="s">
        <v>29</v>
      </c>
      <c r="S57" s="33" t="s">
        <v>40</v>
      </c>
      <c r="T57" s="33" t="s">
        <v>31</v>
      </c>
      <c r="U57" s="39">
        <v>1</v>
      </c>
      <c r="V57" s="9"/>
    </row>
    <row r="58" spans="1:22" x14ac:dyDescent="0.35">
      <c r="A58" s="17" t="s">
        <v>149</v>
      </c>
      <c r="B58" s="7">
        <v>45533</v>
      </c>
      <c r="C58" s="22" t="s">
        <v>33</v>
      </c>
      <c r="D58" s="22" t="s">
        <v>108</v>
      </c>
      <c r="E58" s="22" t="s">
        <v>72</v>
      </c>
      <c r="F58" s="27">
        <v>2024</v>
      </c>
      <c r="G58" s="22" t="s">
        <v>61</v>
      </c>
      <c r="H58" s="22" t="s">
        <v>106</v>
      </c>
      <c r="I58" s="22" t="s">
        <v>38</v>
      </c>
      <c r="J58" s="45">
        <v>12000</v>
      </c>
      <c r="K58" s="1">
        <v>5</v>
      </c>
      <c r="L58" s="2">
        <v>20</v>
      </c>
      <c r="M58" s="45">
        <v>48000</v>
      </c>
      <c r="N58" s="45">
        <v>31984</v>
      </c>
      <c r="O58" s="45">
        <v>16016</v>
      </c>
      <c r="P58" s="3">
        <v>33.369999999999997</v>
      </c>
      <c r="Q58" s="32" t="s">
        <v>28</v>
      </c>
      <c r="R58" s="32" t="s">
        <v>29</v>
      </c>
      <c r="S58" s="32" t="s">
        <v>30</v>
      </c>
      <c r="T58" s="32" t="s">
        <v>41</v>
      </c>
      <c r="U58" s="38">
        <v>3</v>
      </c>
      <c r="V58" s="9"/>
    </row>
    <row r="59" spans="1:22" x14ac:dyDescent="0.35">
      <c r="A59" s="18" t="s">
        <v>150</v>
      </c>
      <c r="B59" s="8">
        <v>44997</v>
      </c>
      <c r="C59" s="23" t="s">
        <v>70</v>
      </c>
      <c r="D59" s="23" t="s">
        <v>65</v>
      </c>
      <c r="E59" s="23" t="s">
        <v>48</v>
      </c>
      <c r="F59" s="28">
        <v>2023</v>
      </c>
      <c r="G59" s="23" t="s">
        <v>61</v>
      </c>
      <c r="H59" s="23" t="s">
        <v>54</v>
      </c>
      <c r="I59" s="23" t="s">
        <v>55</v>
      </c>
      <c r="J59" s="46">
        <v>18000</v>
      </c>
      <c r="K59" s="4">
        <v>1</v>
      </c>
      <c r="L59" s="5">
        <v>20</v>
      </c>
      <c r="M59" s="46">
        <v>14400</v>
      </c>
      <c r="N59" s="46">
        <v>8948</v>
      </c>
      <c r="O59" s="46">
        <v>5452</v>
      </c>
      <c r="P59" s="6">
        <v>37.86</v>
      </c>
      <c r="Q59" s="33" t="s">
        <v>51</v>
      </c>
      <c r="R59" s="33" t="s">
        <v>76</v>
      </c>
      <c r="S59" s="33" t="s">
        <v>40</v>
      </c>
      <c r="T59" s="33" t="s">
        <v>41</v>
      </c>
      <c r="U59" s="39">
        <v>2</v>
      </c>
      <c r="V59" s="9"/>
    </row>
    <row r="60" spans="1:22" x14ac:dyDescent="0.35">
      <c r="A60" s="17" t="s">
        <v>151</v>
      </c>
      <c r="B60" s="7">
        <v>45372</v>
      </c>
      <c r="C60" s="22" t="s">
        <v>33</v>
      </c>
      <c r="D60" s="22" t="s">
        <v>65</v>
      </c>
      <c r="E60" s="22" t="s">
        <v>48</v>
      </c>
      <c r="F60" s="27">
        <v>2024</v>
      </c>
      <c r="G60" s="22" t="s">
        <v>25</v>
      </c>
      <c r="H60" s="22" t="s">
        <v>66</v>
      </c>
      <c r="I60" s="22" t="s">
        <v>38</v>
      </c>
      <c r="J60" s="45">
        <v>11000</v>
      </c>
      <c r="K60" s="1">
        <v>5</v>
      </c>
      <c r="L60" s="2">
        <v>10</v>
      </c>
      <c r="M60" s="45">
        <v>49500</v>
      </c>
      <c r="N60" s="45">
        <v>34026</v>
      </c>
      <c r="O60" s="45">
        <v>15474</v>
      </c>
      <c r="P60" s="3">
        <v>31.26</v>
      </c>
      <c r="Q60" s="32" t="s">
        <v>75</v>
      </c>
      <c r="R60" s="32" t="s">
        <v>67</v>
      </c>
      <c r="S60" s="32" t="s">
        <v>40</v>
      </c>
      <c r="T60" s="32" t="s">
        <v>41</v>
      </c>
      <c r="U60" s="38">
        <v>3</v>
      </c>
      <c r="V60" s="9"/>
    </row>
    <row r="61" spans="1:22" x14ac:dyDescent="0.35">
      <c r="A61" s="18" t="s">
        <v>152</v>
      </c>
      <c r="B61" s="8">
        <v>45178</v>
      </c>
      <c r="C61" s="23" t="s">
        <v>53</v>
      </c>
      <c r="D61" s="23" t="s">
        <v>79</v>
      </c>
      <c r="E61" s="23" t="s">
        <v>72</v>
      </c>
      <c r="F61" s="28">
        <v>2023</v>
      </c>
      <c r="G61" s="23" t="s">
        <v>61</v>
      </c>
      <c r="H61" s="23" t="s">
        <v>84</v>
      </c>
      <c r="I61" s="23" t="s">
        <v>27</v>
      </c>
      <c r="J61" s="46">
        <v>8000</v>
      </c>
      <c r="K61" s="4">
        <v>8</v>
      </c>
      <c r="L61" s="5">
        <v>0</v>
      </c>
      <c r="M61" s="46">
        <v>64000</v>
      </c>
      <c r="N61" s="46">
        <v>43365</v>
      </c>
      <c r="O61" s="46">
        <v>20635</v>
      </c>
      <c r="P61" s="6">
        <v>32.24</v>
      </c>
      <c r="Q61" s="33" t="s">
        <v>75</v>
      </c>
      <c r="R61" s="33" t="s">
        <v>29</v>
      </c>
      <c r="S61" s="33" t="s">
        <v>40</v>
      </c>
      <c r="T61" s="33" t="s">
        <v>31</v>
      </c>
      <c r="U61" s="39">
        <v>4</v>
      </c>
      <c r="V61" s="9"/>
    </row>
    <row r="62" spans="1:22" x14ac:dyDescent="0.35">
      <c r="A62" s="17" t="s">
        <v>153</v>
      </c>
      <c r="B62" s="7">
        <v>45259</v>
      </c>
      <c r="C62" s="22" t="s">
        <v>22</v>
      </c>
      <c r="D62" s="22" t="s">
        <v>110</v>
      </c>
      <c r="E62" s="22" t="s">
        <v>24</v>
      </c>
      <c r="F62" s="27">
        <v>2023</v>
      </c>
      <c r="G62" s="22" t="s">
        <v>61</v>
      </c>
      <c r="H62" s="22" t="s">
        <v>113</v>
      </c>
      <c r="I62" s="22" t="s">
        <v>38</v>
      </c>
      <c r="J62" s="45">
        <v>3500</v>
      </c>
      <c r="K62" s="1">
        <v>4</v>
      </c>
      <c r="L62" s="2">
        <v>0</v>
      </c>
      <c r="M62" s="45">
        <v>14000</v>
      </c>
      <c r="N62" s="45">
        <v>9599</v>
      </c>
      <c r="O62" s="45">
        <v>4401</v>
      </c>
      <c r="P62" s="3">
        <v>31.44</v>
      </c>
      <c r="Q62" s="32" t="s">
        <v>81</v>
      </c>
      <c r="R62" s="32" t="s">
        <v>45</v>
      </c>
      <c r="S62" s="32" t="s">
        <v>85</v>
      </c>
      <c r="T62" s="32" t="s">
        <v>31</v>
      </c>
      <c r="U62" s="38">
        <v>5</v>
      </c>
      <c r="V62" s="9"/>
    </row>
    <row r="63" spans="1:22" x14ac:dyDescent="0.35">
      <c r="A63" s="18" t="s">
        <v>154</v>
      </c>
      <c r="B63" s="8">
        <v>45122</v>
      </c>
      <c r="C63" s="23" t="s">
        <v>53</v>
      </c>
      <c r="D63" s="23" t="s">
        <v>71</v>
      </c>
      <c r="E63" s="23" t="s">
        <v>72</v>
      </c>
      <c r="F63" s="28">
        <v>2023</v>
      </c>
      <c r="G63" s="23" t="s">
        <v>25</v>
      </c>
      <c r="H63" s="23" t="s">
        <v>44</v>
      </c>
      <c r="I63" s="23" t="s">
        <v>27</v>
      </c>
      <c r="J63" s="46">
        <v>6000</v>
      </c>
      <c r="K63" s="4">
        <v>7</v>
      </c>
      <c r="L63" s="5">
        <v>5</v>
      </c>
      <c r="M63" s="46">
        <v>39900</v>
      </c>
      <c r="N63" s="46">
        <v>25711</v>
      </c>
      <c r="O63" s="46">
        <v>14189</v>
      </c>
      <c r="P63" s="6">
        <v>35.56</v>
      </c>
      <c r="Q63" s="33" t="s">
        <v>39</v>
      </c>
      <c r="R63" s="33" t="s">
        <v>67</v>
      </c>
      <c r="S63" s="33" t="s">
        <v>40</v>
      </c>
      <c r="T63" s="33" t="s">
        <v>31</v>
      </c>
      <c r="U63" s="39">
        <v>1</v>
      </c>
      <c r="V63" s="9"/>
    </row>
    <row r="64" spans="1:22" x14ac:dyDescent="0.35">
      <c r="A64" s="17" t="s">
        <v>155</v>
      </c>
      <c r="B64" s="7">
        <v>45228</v>
      </c>
      <c r="C64" s="22" t="s">
        <v>70</v>
      </c>
      <c r="D64" s="22" t="s">
        <v>23</v>
      </c>
      <c r="E64" s="22" t="s">
        <v>24</v>
      </c>
      <c r="F64" s="27">
        <v>2023</v>
      </c>
      <c r="G64" s="22" t="s">
        <v>61</v>
      </c>
      <c r="H64" s="22" t="s">
        <v>113</v>
      </c>
      <c r="I64" s="22" t="s">
        <v>38</v>
      </c>
      <c r="J64" s="45">
        <v>3500</v>
      </c>
      <c r="K64" s="1">
        <v>4</v>
      </c>
      <c r="L64" s="2">
        <v>0</v>
      </c>
      <c r="M64" s="45">
        <v>14000</v>
      </c>
      <c r="N64" s="45">
        <v>9280</v>
      </c>
      <c r="O64" s="45">
        <v>4720</v>
      </c>
      <c r="P64" s="3">
        <v>33.71</v>
      </c>
      <c r="Q64" s="32" t="s">
        <v>81</v>
      </c>
      <c r="R64" s="32" t="s">
        <v>67</v>
      </c>
      <c r="S64" s="32" t="s">
        <v>85</v>
      </c>
      <c r="T64" s="32" t="s">
        <v>41</v>
      </c>
      <c r="U64" s="38">
        <v>5</v>
      </c>
      <c r="V64" s="9"/>
    </row>
    <row r="65" spans="1:22" x14ac:dyDescent="0.35">
      <c r="A65" s="18" t="s">
        <v>156</v>
      </c>
      <c r="B65" s="8">
        <v>45265</v>
      </c>
      <c r="C65" s="23" t="s">
        <v>83</v>
      </c>
      <c r="D65" s="23" t="s">
        <v>97</v>
      </c>
      <c r="E65" s="23" t="s">
        <v>24</v>
      </c>
      <c r="F65" s="28">
        <v>2023</v>
      </c>
      <c r="G65" s="23" t="s">
        <v>43</v>
      </c>
      <c r="H65" s="23" t="s">
        <v>59</v>
      </c>
      <c r="I65" s="23" t="s">
        <v>50</v>
      </c>
      <c r="J65" s="46">
        <v>22000</v>
      </c>
      <c r="K65" s="4">
        <v>5</v>
      </c>
      <c r="L65" s="5">
        <v>0</v>
      </c>
      <c r="M65" s="46">
        <v>110000</v>
      </c>
      <c r="N65" s="46">
        <v>65201</v>
      </c>
      <c r="O65" s="46">
        <v>44799</v>
      </c>
      <c r="P65" s="6">
        <v>40.729999999999997</v>
      </c>
      <c r="Q65" s="33" t="s">
        <v>28</v>
      </c>
      <c r="R65" s="33" t="s">
        <v>56</v>
      </c>
      <c r="S65" s="33" t="s">
        <v>57</v>
      </c>
      <c r="T65" s="33" t="s">
        <v>31</v>
      </c>
      <c r="U65" s="39">
        <v>2</v>
      </c>
      <c r="V65" s="9"/>
    </row>
    <row r="66" spans="1:22" x14ac:dyDescent="0.35">
      <c r="A66" s="17" t="s">
        <v>157</v>
      </c>
      <c r="B66" s="7">
        <v>45148</v>
      </c>
      <c r="C66" s="22" t="s">
        <v>33</v>
      </c>
      <c r="D66" s="22" t="s">
        <v>108</v>
      </c>
      <c r="E66" s="22" t="s">
        <v>72</v>
      </c>
      <c r="F66" s="27">
        <v>2023</v>
      </c>
      <c r="G66" s="22" t="s">
        <v>61</v>
      </c>
      <c r="H66" s="22" t="s">
        <v>62</v>
      </c>
      <c r="I66" s="22" t="s">
        <v>63</v>
      </c>
      <c r="J66" s="45">
        <v>5000</v>
      </c>
      <c r="K66" s="1">
        <v>10</v>
      </c>
      <c r="L66" s="2">
        <v>20</v>
      </c>
      <c r="M66" s="45">
        <v>40000</v>
      </c>
      <c r="N66" s="45">
        <v>25568</v>
      </c>
      <c r="O66" s="45">
        <v>14432</v>
      </c>
      <c r="P66" s="3">
        <v>36.08</v>
      </c>
      <c r="Q66" s="32" t="s">
        <v>81</v>
      </c>
      <c r="R66" s="32" t="s">
        <v>76</v>
      </c>
      <c r="S66" s="32" t="s">
        <v>68</v>
      </c>
      <c r="T66" s="32" t="s">
        <v>31</v>
      </c>
      <c r="U66" s="38">
        <v>3</v>
      </c>
      <c r="V66" s="9"/>
    </row>
    <row r="67" spans="1:22" x14ac:dyDescent="0.35">
      <c r="A67" s="18" t="s">
        <v>158</v>
      </c>
      <c r="B67" s="8">
        <v>45110</v>
      </c>
      <c r="C67" s="23" t="s">
        <v>90</v>
      </c>
      <c r="D67" s="23" t="s">
        <v>71</v>
      </c>
      <c r="E67" s="23" t="s">
        <v>72</v>
      </c>
      <c r="F67" s="28">
        <v>2023</v>
      </c>
      <c r="G67" s="23" t="s">
        <v>36</v>
      </c>
      <c r="H67" s="23" t="s">
        <v>117</v>
      </c>
      <c r="I67" s="23" t="s">
        <v>50</v>
      </c>
      <c r="J67" s="46">
        <v>8000</v>
      </c>
      <c r="K67" s="4">
        <v>9</v>
      </c>
      <c r="L67" s="5">
        <v>0</v>
      </c>
      <c r="M67" s="46">
        <v>72000</v>
      </c>
      <c r="N67" s="46">
        <v>42958</v>
      </c>
      <c r="O67" s="46">
        <v>29042</v>
      </c>
      <c r="P67" s="6">
        <v>40.340000000000003</v>
      </c>
      <c r="Q67" s="33" t="s">
        <v>28</v>
      </c>
      <c r="R67" s="33" t="s">
        <v>29</v>
      </c>
      <c r="S67" s="33" t="s">
        <v>57</v>
      </c>
      <c r="T67" s="33" t="s">
        <v>41</v>
      </c>
      <c r="U67" s="39">
        <v>1</v>
      </c>
      <c r="V67" s="9"/>
    </row>
    <row r="68" spans="1:22" x14ac:dyDescent="0.35">
      <c r="A68" s="17" t="s">
        <v>159</v>
      </c>
      <c r="B68" s="7">
        <v>44939</v>
      </c>
      <c r="C68" s="22" t="s">
        <v>78</v>
      </c>
      <c r="D68" s="22" t="s">
        <v>47</v>
      </c>
      <c r="E68" s="22" t="s">
        <v>48</v>
      </c>
      <c r="F68" s="27">
        <v>2023</v>
      </c>
      <c r="G68" s="22" t="s">
        <v>25</v>
      </c>
      <c r="H68" s="22" t="s">
        <v>54</v>
      </c>
      <c r="I68" s="22" t="s">
        <v>55</v>
      </c>
      <c r="J68" s="45">
        <v>18000</v>
      </c>
      <c r="K68" s="1">
        <v>8</v>
      </c>
      <c r="L68" s="2">
        <v>5</v>
      </c>
      <c r="M68" s="45">
        <v>136800</v>
      </c>
      <c r="N68" s="45">
        <v>85484</v>
      </c>
      <c r="O68" s="45">
        <v>51316</v>
      </c>
      <c r="P68" s="3">
        <v>37.51</v>
      </c>
      <c r="Q68" s="32" t="s">
        <v>39</v>
      </c>
      <c r="R68" s="32" t="s">
        <v>76</v>
      </c>
      <c r="S68" s="32" t="s">
        <v>57</v>
      </c>
      <c r="T68" s="32" t="s">
        <v>31</v>
      </c>
      <c r="U68" s="38">
        <v>1</v>
      </c>
      <c r="V68" s="9"/>
    </row>
    <row r="69" spans="1:22" x14ac:dyDescent="0.35">
      <c r="A69" s="18" t="s">
        <v>160</v>
      </c>
      <c r="B69" s="8">
        <v>45337</v>
      </c>
      <c r="C69" s="23" t="s">
        <v>33</v>
      </c>
      <c r="D69" s="23" t="s">
        <v>74</v>
      </c>
      <c r="E69" s="23" t="s">
        <v>48</v>
      </c>
      <c r="F69" s="28">
        <v>2024</v>
      </c>
      <c r="G69" s="23" t="s">
        <v>61</v>
      </c>
      <c r="H69" s="23" t="s">
        <v>93</v>
      </c>
      <c r="I69" s="23" t="s">
        <v>63</v>
      </c>
      <c r="J69" s="46">
        <v>14000</v>
      </c>
      <c r="K69" s="4">
        <v>10</v>
      </c>
      <c r="L69" s="5">
        <v>15</v>
      </c>
      <c r="M69" s="46">
        <v>119000</v>
      </c>
      <c r="N69" s="46">
        <v>79337</v>
      </c>
      <c r="O69" s="46">
        <v>39663</v>
      </c>
      <c r="P69" s="6">
        <v>33.33</v>
      </c>
      <c r="Q69" s="33" t="s">
        <v>39</v>
      </c>
      <c r="R69" s="33" t="s">
        <v>56</v>
      </c>
      <c r="S69" s="33" t="s">
        <v>85</v>
      </c>
      <c r="T69" s="33" t="s">
        <v>31</v>
      </c>
      <c r="U69" s="39">
        <v>2</v>
      </c>
      <c r="V69" s="9"/>
    </row>
    <row r="70" spans="1:22" x14ac:dyDescent="0.35">
      <c r="A70" s="17" t="s">
        <v>161</v>
      </c>
      <c r="B70" s="7">
        <v>45048</v>
      </c>
      <c r="C70" s="22" t="s">
        <v>83</v>
      </c>
      <c r="D70" s="22" t="s">
        <v>116</v>
      </c>
      <c r="E70" s="22" t="s">
        <v>35</v>
      </c>
      <c r="F70" s="27">
        <v>2023</v>
      </c>
      <c r="G70" s="22" t="s">
        <v>25</v>
      </c>
      <c r="H70" s="22" t="s">
        <v>126</v>
      </c>
      <c r="I70" s="22" t="s">
        <v>55</v>
      </c>
      <c r="J70" s="45">
        <v>12000</v>
      </c>
      <c r="K70" s="1">
        <v>10</v>
      </c>
      <c r="L70" s="2">
        <v>10</v>
      </c>
      <c r="M70" s="45">
        <v>108000</v>
      </c>
      <c r="N70" s="45">
        <v>73918</v>
      </c>
      <c r="O70" s="45">
        <v>34082</v>
      </c>
      <c r="P70" s="3">
        <v>31.56</v>
      </c>
      <c r="Q70" s="32" t="s">
        <v>39</v>
      </c>
      <c r="R70" s="32" t="s">
        <v>29</v>
      </c>
      <c r="S70" s="32" t="s">
        <v>40</v>
      </c>
      <c r="T70" s="32" t="s">
        <v>41</v>
      </c>
      <c r="U70" s="38">
        <v>3</v>
      </c>
      <c r="V70" s="9"/>
    </row>
    <row r="71" spans="1:22" x14ac:dyDescent="0.35">
      <c r="A71" s="18" t="s">
        <v>162</v>
      </c>
      <c r="B71" s="8">
        <v>45529</v>
      </c>
      <c r="C71" s="23" t="s">
        <v>70</v>
      </c>
      <c r="D71" s="23" t="s">
        <v>108</v>
      </c>
      <c r="E71" s="23" t="s">
        <v>72</v>
      </c>
      <c r="F71" s="28">
        <v>2024</v>
      </c>
      <c r="G71" s="23" t="s">
        <v>61</v>
      </c>
      <c r="H71" s="23" t="s">
        <v>62</v>
      </c>
      <c r="I71" s="23" t="s">
        <v>63</v>
      </c>
      <c r="J71" s="46">
        <v>5000</v>
      </c>
      <c r="K71" s="4">
        <v>10</v>
      </c>
      <c r="L71" s="5">
        <v>10</v>
      </c>
      <c r="M71" s="46">
        <v>45000</v>
      </c>
      <c r="N71" s="46">
        <v>25211</v>
      </c>
      <c r="O71" s="46">
        <v>19789</v>
      </c>
      <c r="P71" s="6">
        <v>43.98</v>
      </c>
      <c r="Q71" s="33" t="s">
        <v>28</v>
      </c>
      <c r="R71" s="33" t="s">
        <v>56</v>
      </c>
      <c r="S71" s="33" t="s">
        <v>68</v>
      </c>
      <c r="T71" s="33" t="s">
        <v>31</v>
      </c>
      <c r="U71" s="39">
        <v>2</v>
      </c>
      <c r="V71" s="9"/>
    </row>
    <row r="72" spans="1:22" x14ac:dyDescent="0.35">
      <c r="A72" s="17" t="s">
        <v>163</v>
      </c>
      <c r="B72" s="7">
        <v>45172</v>
      </c>
      <c r="C72" s="22" t="s">
        <v>70</v>
      </c>
      <c r="D72" s="22" t="s">
        <v>79</v>
      </c>
      <c r="E72" s="22" t="s">
        <v>72</v>
      </c>
      <c r="F72" s="27">
        <v>2023</v>
      </c>
      <c r="G72" s="22" t="s">
        <v>61</v>
      </c>
      <c r="H72" s="22" t="s">
        <v>66</v>
      </c>
      <c r="I72" s="22" t="s">
        <v>38</v>
      </c>
      <c r="J72" s="45">
        <v>11000</v>
      </c>
      <c r="K72" s="1">
        <v>2</v>
      </c>
      <c r="L72" s="2">
        <v>0</v>
      </c>
      <c r="M72" s="45">
        <v>22000</v>
      </c>
      <c r="N72" s="45">
        <v>12110</v>
      </c>
      <c r="O72" s="45">
        <v>9890</v>
      </c>
      <c r="P72" s="3">
        <v>44.95</v>
      </c>
      <c r="Q72" s="32" t="s">
        <v>51</v>
      </c>
      <c r="R72" s="32" t="s">
        <v>29</v>
      </c>
      <c r="S72" s="32" t="s">
        <v>40</v>
      </c>
      <c r="T72" s="32" t="s">
        <v>31</v>
      </c>
      <c r="U72" s="38">
        <v>2</v>
      </c>
      <c r="V72" s="9"/>
    </row>
    <row r="73" spans="1:22" x14ac:dyDescent="0.35">
      <c r="A73" s="18" t="s">
        <v>164</v>
      </c>
      <c r="B73" s="8">
        <v>45222</v>
      </c>
      <c r="C73" s="23" t="s">
        <v>90</v>
      </c>
      <c r="D73" s="23" t="s">
        <v>23</v>
      </c>
      <c r="E73" s="23" t="s">
        <v>24</v>
      </c>
      <c r="F73" s="28">
        <v>2023</v>
      </c>
      <c r="G73" s="23" t="s">
        <v>25</v>
      </c>
      <c r="H73" s="23" t="s">
        <v>59</v>
      </c>
      <c r="I73" s="23" t="s">
        <v>50</v>
      </c>
      <c r="J73" s="46">
        <v>22000</v>
      </c>
      <c r="K73" s="4">
        <v>2</v>
      </c>
      <c r="L73" s="5">
        <v>15</v>
      </c>
      <c r="M73" s="46">
        <v>37400</v>
      </c>
      <c r="N73" s="46">
        <v>22054</v>
      </c>
      <c r="O73" s="46">
        <v>15346</v>
      </c>
      <c r="P73" s="6">
        <v>41.03</v>
      </c>
      <c r="Q73" s="33" t="s">
        <v>81</v>
      </c>
      <c r="R73" s="33" t="s">
        <v>29</v>
      </c>
      <c r="S73" s="33" t="s">
        <v>68</v>
      </c>
      <c r="T73" s="33" t="s">
        <v>31</v>
      </c>
      <c r="U73" s="39">
        <v>5</v>
      </c>
      <c r="V73" s="9"/>
    </row>
    <row r="74" spans="1:22" x14ac:dyDescent="0.35">
      <c r="A74" s="17" t="s">
        <v>165</v>
      </c>
      <c r="B74" s="7">
        <v>45157</v>
      </c>
      <c r="C74" s="22" t="s">
        <v>53</v>
      </c>
      <c r="D74" s="22" t="s">
        <v>108</v>
      </c>
      <c r="E74" s="22" t="s">
        <v>72</v>
      </c>
      <c r="F74" s="27">
        <v>2023</v>
      </c>
      <c r="G74" s="22" t="s">
        <v>61</v>
      </c>
      <c r="H74" s="22" t="s">
        <v>123</v>
      </c>
      <c r="I74" s="22" t="s">
        <v>38</v>
      </c>
      <c r="J74" s="45">
        <v>14000</v>
      </c>
      <c r="K74" s="1">
        <v>3</v>
      </c>
      <c r="L74" s="2">
        <v>0</v>
      </c>
      <c r="M74" s="45">
        <v>42000</v>
      </c>
      <c r="N74" s="45">
        <v>23526</v>
      </c>
      <c r="O74" s="45">
        <v>18474</v>
      </c>
      <c r="P74" s="3">
        <v>43.99</v>
      </c>
      <c r="Q74" s="32" t="s">
        <v>81</v>
      </c>
      <c r="R74" s="32" t="s">
        <v>29</v>
      </c>
      <c r="S74" s="32" t="s">
        <v>85</v>
      </c>
      <c r="T74" s="32" t="s">
        <v>41</v>
      </c>
      <c r="U74" s="38">
        <v>1</v>
      </c>
      <c r="V74" s="9"/>
    </row>
    <row r="75" spans="1:22" x14ac:dyDescent="0.35">
      <c r="A75" s="18" t="s">
        <v>166</v>
      </c>
      <c r="B75" s="8">
        <v>45406</v>
      </c>
      <c r="C75" s="23" t="s">
        <v>22</v>
      </c>
      <c r="D75" s="23" t="s">
        <v>34</v>
      </c>
      <c r="E75" s="23" t="s">
        <v>35</v>
      </c>
      <c r="F75" s="28">
        <v>2024</v>
      </c>
      <c r="G75" s="23" t="s">
        <v>43</v>
      </c>
      <c r="H75" s="23" t="s">
        <v>59</v>
      </c>
      <c r="I75" s="23" t="s">
        <v>50</v>
      </c>
      <c r="J75" s="46">
        <v>22000</v>
      </c>
      <c r="K75" s="4">
        <v>5</v>
      </c>
      <c r="L75" s="5">
        <v>10</v>
      </c>
      <c r="M75" s="46">
        <v>99000</v>
      </c>
      <c r="N75" s="46">
        <v>63538</v>
      </c>
      <c r="O75" s="46">
        <v>35462</v>
      </c>
      <c r="P75" s="6">
        <v>35.82</v>
      </c>
      <c r="Q75" s="33" t="s">
        <v>51</v>
      </c>
      <c r="R75" s="33" t="s">
        <v>76</v>
      </c>
      <c r="S75" s="33" t="s">
        <v>85</v>
      </c>
      <c r="T75" s="33" t="s">
        <v>41</v>
      </c>
      <c r="U75" s="39">
        <v>3</v>
      </c>
      <c r="V75" s="9"/>
    </row>
    <row r="76" spans="1:22" x14ac:dyDescent="0.35">
      <c r="A76" s="17" t="s">
        <v>167</v>
      </c>
      <c r="B76" s="7">
        <v>45545</v>
      </c>
      <c r="C76" s="22" t="s">
        <v>83</v>
      </c>
      <c r="D76" s="22" t="s">
        <v>79</v>
      </c>
      <c r="E76" s="22" t="s">
        <v>72</v>
      </c>
      <c r="F76" s="27">
        <v>2024</v>
      </c>
      <c r="G76" s="22" t="s">
        <v>61</v>
      </c>
      <c r="H76" s="22" t="s">
        <v>117</v>
      </c>
      <c r="I76" s="22" t="s">
        <v>50</v>
      </c>
      <c r="J76" s="45">
        <v>8000</v>
      </c>
      <c r="K76" s="1">
        <v>2</v>
      </c>
      <c r="L76" s="2">
        <v>0</v>
      </c>
      <c r="M76" s="45">
        <v>16000</v>
      </c>
      <c r="N76" s="45">
        <v>11416</v>
      </c>
      <c r="O76" s="45">
        <v>4584</v>
      </c>
      <c r="P76" s="3">
        <v>28.65</v>
      </c>
      <c r="Q76" s="32" t="s">
        <v>75</v>
      </c>
      <c r="R76" s="32" t="s">
        <v>29</v>
      </c>
      <c r="S76" s="32" t="s">
        <v>30</v>
      </c>
      <c r="T76" s="32" t="s">
        <v>31</v>
      </c>
      <c r="U76" s="38">
        <v>2</v>
      </c>
      <c r="V76" s="9"/>
    </row>
    <row r="77" spans="1:22" x14ac:dyDescent="0.35">
      <c r="A77" s="18" t="s">
        <v>168</v>
      </c>
      <c r="B77" s="8">
        <v>45408</v>
      </c>
      <c r="C77" s="23" t="s">
        <v>78</v>
      </c>
      <c r="D77" s="23" t="s">
        <v>34</v>
      </c>
      <c r="E77" s="23" t="s">
        <v>35</v>
      </c>
      <c r="F77" s="28">
        <v>2024</v>
      </c>
      <c r="G77" s="23" t="s">
        <v>25</v>
      </c>
      <c r="H77" s="23" t="s">
        <v>126</v>
      </c>
      <c r="I77" s="23" t="s">
        <v>55</v>
      </c>
      <c r="J77" s="46">
        <v>12000</v>
      </c>
      <c r="K77" s="4">
        <v>5</v>
      </c>
      <c r="L77" s="5">
        <v>0</v>
      </c>
      <c r="M77" s="46">
        <v>60000</v>
      </c>
      <c r="N77" s="46">
        <v>43169</v>
      </c>
      <c r="O77" s="46">
        <v>16831</v>
      </c>
      <c r="P77" s="6">
        <v>28.05</v>
      </c>
      <c r="Q77" s="33" t="s">
        <v>51</v>
      </c>
      <c r="R77" s="33" t="s">
        <v>67</v>
      </c>
      <c r="S77" s="33" t="s">
        <v>30</v>
      </c>
      <c r="T77" s="33" t="s">
        <v>41</v>
      </c>
      <c r="U77" s="39">
        <v>4</v>
      </c>
      <c r="V77" s="9"/>
    </row>
    <row r="78" spans="1:22" x14ac:dyDescent="0.35">
      <c r="A78" s="17" t="s">
        <v>169</v>
      </c>
      <c r="B78" s="7">
        <v>45268</v>
      </c>
      <c r="C78" s="22" t="s">
        <v>78</v>
      </c>
      <c r="D78" s="22" t="s">
        <v>97</v>
      </c>
      <c r="E78" s="22" t="s">
        <v>24</v>
      </c>
      <c r="F78" s="27">
        <v>2023</v>
      </c>
      <c r="G78" s="22" t="s">
        <v>43</v>
      </c>
      <c r="H78" s="22" t="s">
        <v>117</v>
      </c>
      <c r="I78" s="22" t="s">
        <v>50</v>
      </c>
      <c r="J78" s="45">
        <v>8000</v>
      </c>
      <c r="K78" s="1">
        <v>3</v>
      </c>
      <c r="L78" s="2">
        <v>0</v>
      </c>
      <c r="M78" s="45">
        <v>24000</v>
      </c>
      <c r="N78" s="45">
        <v>14880</v>
      </c>
      <c r="O78" s="45">
        <v>9120</v>
      </c>
      <c r="P78" s="3">
        <v>38</v>
      </c>
      <c r="Q78" s="32" t="s">
        <v>51</v>
      </c>
      <c r="R78" s="32" t="s">
        <v>45</v>
      </c>
      <c r="S78" s="32" t="s">
        <v>40</v>
      </c>
      <c r="T78" s="32" t="s">
        <v>41</v>
      </c>
      <c r="U78" s="38">
        <v>1</v>
      </c>
      <c r="V78" s="9"/>
    </row>
    <row r="79" spans="1:22" x14ac:dyDescent="0.35">
      <c r="A79" s="18" t="s">
        <v>170</v>
      </c>
      <c r="B79" s="8">
        <v>45249</v>
      </c>
      <c r="C79" s="23" t="s">
        <v>70</v>
      </c>
      <c r="D79" s="23" t="s">
        <v>110</v>
      </c>
      <c r="E79" s="23" t="s">
        <v>24</v>
      </c>
      <c r="F79" s="28">
        <v>2023</v>
      </c>
      <c r="G79" s="23" t="s">
        <v>25</v>
      </c>
      <c r="H79" s="23" t="s">
        <v>145</v>
      </c>
      <c r="I79" s="23" t="s">
        <v>50</v>
      </c>
      <c r="J79" s="46">
        <v>12000</v>
      </c>
      <c r="K79" s="4">
        <v>2</v>
      </c>
      <c r="L79" s="5">
        <v>20</v>
      </c>
      <c r="M79" s="46">
        <v>19200</v>
      </c>
      <c r="N79" s="46">
        <v>11879</v>
      </c>
      <c r="O79" s="46">
        <v>7321</v>
      </c>
      <c r="P79" s="6">
        <v>38.130000000000003</v>
      </c>
      <c r="Q79" s="33" t="s">
        <v>75</v>
      </c>
      <c r="R79" s="33" t="s">
        <v>76</v>
      </c>
      <c r="S79" s="33" t="s">
        <v>85</v>
      </c>
      <c r="T79" s="33" t="s">
        <v>41</v>
      </c>
      <c r="U79" s="39">
        <v>1</v>
      </c>
      <c r="V79" s="9"/>
    </row>
    <row r="80" spans="1:22" x14ac:dyDescent="0.35">
      <c r="A80" s="17" t="s">
        <v>171</v>
      </c>
      <c r="B80" s="7">
        <v>45119</v>
      </c>
      <c r="C80" s="22" t="s">
        <v>22</v>
      </c>
      <c r="D80" s="22" t="s">
        <v>71</v>
      </c>
      <c r="E80" s="22" t="s">
        <v>72</v>
      </c>
      <c r="F80" s="27">
        <v>2023</v>
      </c>
      <c r="G80" s="22" t="s">
        <v>61</v>
      </c>
      <c r="H80" s="22" t="s">
        <v>54</v>
      </c>
      <c r="I80" s="22" t="s">
        <v>55</v>
      </c>
      <c r="J80" s="45">
        <v>18000</v>
      </c>
      <c r="K80" s="1">
        <v>10</v>
      </c>
      <c r="L80" s="2">
        <v>20</v>
      </c>
      <c r="M80" s="45">
        <v>144000</v>
      </c>
      <c r="N80" s="45">
        <v>91403</v>
      </c>
      <c r="O80" s="45">
        <v>52597</v>
      </c>
      <c r="P80" s="3">
        <v>36.53</v>
      </c>
      <c r="Q80" s="32" t="s">
        <v>51</v>
      </c>
      <c r="R80" s="32" t="s">
        <v>76</v>
      </c>
      <c r="S80" s="32" t="s">
        <v>68</v>
      </c>
      <c r="T80" s="32" t="s">
        <v>31</v>
      </c>
      <c r="U80" s="38">
        <v>3</v>
      </c>
      <c r="V80" s="9"/>
    </row>
    <row r="81" spans="1:22" x14ac:dyDescent="0.35">
      <c r="A81" s="18" t="s">
        <v>172</v>
      </c>
      <c r="B81" s="8">
        <v>45375</v>
      </c>
      <c r="C81" s="23" t="s">
        <v>70</v>
      </c>
      <c r="D81" s="23" t="s">
        <v>65</v>
      </c>
      <c r="E81" s="23" t="s">
        <v>48</v>
      </c>
      <c r="F81" s="28">
        <v>2024</v>
      </c>
      <c r="G81" s="23" t="s">
        <v>43</v>
      </c>
      <c r="H81" s="23" t="s">
        <v>93</v>
      </c>
      <c r="I81" s="23" t="s">
        <v>63</v>
      </c>
      <c r="J81" s="46">
        <v>14000</v>
      </c>
      <c r="K81" s="4">
        <v>1</v>
      </c>
      <c r="L81" s="5">
        <v>15</v>
      </c>
      <c r="M81" s="46">
        <v>11900</v>
      </c>
      <c r="N81" s="46">
        <v>7777</v>
      </c>
      <c r="O81" s="46">
        <v>4123</v>
      </c>
      <c r="P81" s="6">
        <v>34.65</v>
      </c>
      <c r="Q81" s="33" t="s">
        <v>39</v>
      </c>
      <c r="R81" s="33" t="s">
        <v>56</v>
      </c>
      <c r="S81" s="33" t="s">
        <v>57</v>
      </c>
      <c r="T81" s="33" t="s">
        <v>41</v>
      </c>
      <c r="U81" s="39">
        <v>1</v>
      </c>
      <c r="V81" s="9"/>
    </row>
    <row r="82" spans="1:22" x14ac:dyDescent="0.35">
      <c r="A82" s="17" t="s">
        <v>173</v>
      </c>
      <c r="B82" s="7">
        <v>45157</v>
      </c>
      <c r="C82" s="22" t="s">
        <v>53</v>
      </c>
      <c r="D82" s="22" t="s">
        <v>108</v>
      </c>
      <c r="E82" s="22" t="s">
        <v>72</v>
      </c>
      <c r="F82" s="27">
        <v>2023</v>
      </c>
      <c r="G82" s="22" t="s">
        <v>61</v>
      </c>
      <c r="H82" s="22" t="s">
        <v>174</v>
      </c>
      <c r="I82" s="22" t="s">
        <v>27</v>
      </c>
      <c r="J82" s="45">
        <v>12000</v>
      </c>
      <c r="K82" s="1">
        <v>2</v>
      </c>
      <c r="L82" s="2">
        <v>15</v>
      </c>
      <c r="M82" s="45">
        <v>20400</v>
      </c>
      <c r="N82" s="45">
        <v>14106</v>
      </c>
      <c r="O82" s="45">
        <v>6294</v>
      </c>
      <c r="P82" s="3">
        <v>30.85</v>
      </c>
      <c r="Q82" s="32" t="s">
        <v>51</v>
      </c>
      <c r="R82" s="32" t="s">
        <v>45</v>
      </c>
      <c r="S82" s="32" t="s">
        <v>85</v>
      </c>
      <c r="T82" s="32" t="s">
        <v>41</v>
      </c>
      <c r="U82" s="38">
        <v>4</v>
      </c>
      <c r="V82" s="9"/>
    </row>
    <row r="83" spans="1:22" x14ac:dyDescent="0.35">
      <c r="A83" s="18" t="s">
        <v>175</v>
      </c>
      <c r="B83" s="8">
        <v>45410</v>
      </c>
      <c r="C83" s="23" t="s">
        <v>70</v>
      </c>
      <c r="D83" s="23" t="s">
        <v>34</v>
      </c>
      <c r="E83" s="23" t="s">
        <v>35</v>
      </c>
      <c r="F83" s="28">
        <v>2024</v>
      </c>
      <c r="G83" s="23" t="s">
        <v>43</v>
      </c>
      <c r="H83" s="23" t="s">
        <v>113</v>
      </c>
      <c r="I83" s="23" t="s">
        <v>38</v>
      </c>
      <c r="J83" s="46">
        <v>3500</v>
      </c>
      <c r="K83" s="4">
        <v>9</v>
      </c>
      <c r="L83" s="5">
        <v>0</v>
      </c>
      <c r="M83" s="46">
        <v>31500</v>
      </c>
      <c r="N83" s="46">
        <v>19379</v>
      </c>
      <c r="O83" s="46">
        <v>12121</v>
      </c>
      <c r="P83" s="6">
        <v>38.479999999999997</v>
      </c>
      <c r="Q83" s="33" t="s">
        <v>75</v>
      </c>
      <c r="R83" s="33" t="s">
        <v>29</v>
      </c>
      <c r="S83" s="33" t="s">
        <v>68</v>
      </c>
      <c r="T83" s="33" t="s">
        <v>41</v>
      </c>
      <c r="U83" s="39">
        <v>4</v>
      </c>
      <c r="V83" s="9"/>
    </row>
    <row r="84" spans="1:22" x14ac:dyDescent="0.35">
      <c r="A84" s="17" t="s">
        <v>176</v>
      </c>
      <c r="B84" s="7">
        <v>45275</v>
      </c>
      <c r="C84" s="22" t="s">
        <v>78</v>
      </c>
      <c r="D84" s="22" t="s">
        <v>97</v>
      </c>
      <c r="E84" s="22" t="s">
        <v>24</v>
      </c>
      <c r="F84" s="27">
        <v>2023</v>
      </c>
      <c r="G84" s="22" t="s">
        <v>36</v>
      </c>
      <c r="H84" s="22" t="s">
        <v>54</v>
      </c>
      <c r="I84" s="22" t="s">
        <v>55</v>
      </c>
      <c r="J84" s="45">
        <v>18000</v>
      </c>
      <c r="K84" s="1">
        <v>1</v>
      </c>
      <c r="L84" s="2">
        <v>0</v>
      </c>
      <c r="M84" s="45">
        <v>18000</v>
      </c>
      <c r="N84" s="45">
        <v>12122</v>
      </c>
      <c r="O84" s="45">
        <v>5878</v>
      </c>
      <c r="P84" s="3">
        <v>32.659999999999997</v>
      </c>
      <c r="Q84" s="32" t="s">
        <v>75</v>
      </c>
      <c r="R84" s="32" t="s">
        <v>29</v>
      </c>
      <c r="S84" s="32" t="s">
        <v>40</v>
      </c>
      <c r="T84" s="32" t="s">
        <v>41</v>
      </c>
      <c r="U84" s="38">
        <v>5</v>
      </c>
      <c r="V84" s="9"/>
    </row>
    <row r="85" spans="1:22" x14ac:dyDescent="0.35">
      <c r="A85" s="18" t="s">
        <v>177</v>
      </c>
      <c r="B85" s="8">
        <v>45422</v>
      </c>
      <c r="C85" s="23" t="s">
        <v>78</v>
      </c>
      <c r="D85" s="23" t="s">
        <v>116</v>
      </c>
      <c r="E85" s="23" t="s">
        <v>35</v>
      </c>
      <c r="F85" s="28">
        <v>2024</v>
      </c>
      <c r="G85" s="23" t="s">
        <v>36</v>
      </c>
      <c r="H85" s="23" t="s">
        <v>145</v>
      </c>
      <c r="I85" s="23" t="s">
        <v>50</v>
      </c>
      <c r="J85" s="46">
        <v>12000</v>
      </c>
      <c r="K85" s="4">
        <v>9</v>
      </c>
      <c r="L85" s="5">
        <v>20</v>
      </c>
      <c r="M85" s="46">
        <v>86400</v>
      </c>
      <c r="N85" s="46">
        <v>55502</v>
      </c>
      <c r="O85" s="46">
        <v>30898</v>
      </c>
      <c r="P85" s="6">
        <v>35.76</v>
      </c>
      <c r="Q85" s="33" t="s">
        <v>51</v>
      </c>
      <c r="R85" s="33" t="s">
        <v>45</v>
      </c>
      <c r="S85" s="33" t="s">
        <v>68</v>
      </c>
      <c r="T85" s="33" t="s">
        <v>41</v>
      </c>
      <c r="U85" s="39">
        <v>2</v>
      </c>
      <c r="V85" s="9"/>
    </row>
    <row r="86" spans="1:22" x14ac:dyDescent="0.35">
      <c r="A86" s="17" t="s">
        <v>178</v>
      </c>
      <c r="B86" s="7">
        <v>45347</v>
      </c>
      <c r="C86" s="22" t="s">
        <v>70</v>
      </c>
      <c r="D86" s="22" t="s">
        <v>74</v>
      </c>
      <c r="E86" s="22" t="s">
        <v>48</v>
      </c>
      <c r="F86" s="27">
        <v>2024</v>
      </c>
      <c r="G86" s="22" t="s">
        <v>25</v>
      </c>
      <c r="H86" s="22" t="s">
        <v>84</v>
      </c>
      <c r="I86" s="22" t="s">
        <v>27</v>
      </c>
      <c r="J86" s="45">
        <v>8000</v>
      </c>
      <c r="K86" s="1">
        <v>8</v>
      </c>
      <c r="L86" s="2">
        <v>15</v>
      </c>
      <c r="M86" s="45">
        <v>54400</v>
      </c>
      <c r="N86" s="45">
        <v>38367</v>
      </c>
      <c r="O86" s="45">
        <v>16033</v>
      </c>
      <c r="P86" s="3">
        <v>29.47</v>
      </c>
      <c r="Q86" s="32" t="s">
        <v>51</v>
      </c>
      <c r="R86" s="32" t="s">
        <v>67</v>
      </c>
      <c r="S86" s="32" t="s">
        <v>68</v>
      </c>
      <c r="T86" s="32" t="s">
        <v>31</v>
      </c>
      <c r="U86" s="38">
        <v>2</v>
      </c>
      <c r="V86" s="9"/>
    </row>
    <row r="87" spans="1:22" x14ac:dyDescent="0.35">
      <c r="A87" s="18" t="s">
        <v>179</v>
      </c>
      <c r="B87" s="8">
        <v>45441</v>
      </c>
      <c r="C87" s="23" t="s">
        <v>22</v>
      </c>
      <c r="D87" s="23" t="s">
        <v>116</v>
      </c>
      <c r="E87" s="23" t="s">
        <v>35</v>
      </c>
      <c r="F87" s="28">
        <v>2024</v>
      </c>
      <c r="G87" s="23" t="s">
        <v>43</v>
      </c>
      <c r="H87" s="23" t="s">
        <v>54</v>
      </c>
      <c r="I87" s="23" t="s">
        <v>55</v>
      </c>
      <c r="J87" s="46">
        <v>18000</v>
      </c>
      <c r="K87" s="4">
        <v>2</v>
      </c>
      <c r="L87" s="5">
        <v>20</v>
      </c>
      <c r="M87" s="46">
        <v>28800</v>
      </c>
      <c r="N87" s="46">
        <v>19977</v>
      </c>
      <c r="O87" s="46">
        <v>8823</v>
      </c>
      <c r="P87" s="6">
        <v>30.64</v>
      </c>
      <c r="Q87" s="33" t="s">
        <v>28</v>
      </c>
      <c r="R87" s="33" t="s">
        <v>29</v>
      </c>
      <c r="S87" s="33" t="s">
        <v>40</v>
      </c>
      <c r="T87" s="33" t="s">
        <v>31</v>
      </c>
      <c r="U87" s="39">
        <v>4</v>
      </c>
      <c r="V87" s="9"/>
    </row>
    <row r="88" spans="1:22" x14ac:dyDescent="0.35">
      <c r="A88" s="17" t="s">
        <v>180</v>
      </c>
      <c r="B88" s="7">
        <v>45597</v>
      </c>
      <c r="C88" s="22" t="s">
        <v>78</v>
      </c>
      <c r="D88" s="22" t="s">
        <v>110</v>
      </c>
      <c r="E88" s="22" t="s">
        <v>24</v>
      </c>
      <c r="F88" s="27">
        <v>2024</v>
      </c>
      <c r="G88" s="22" t="s">
        <v>43</v>
      </c>
      <c r="H88" s="22" t="s">
        <v>106</v>
      </c>
      <c r="I88" s="22" t="s">
        <v>38</v>
      </c>
      <c r="J88" s="45">
        <v>12000</v>
      </c>
      <c r="K88" s="1">
        <v>8</v>
      </c>
      <c r="L88" s="2">
        <v>20</v>
      </c>
      <c r="M88" s="45">
        <v>76800</v>
      </c>
      <c r="N88" s="45">
        <v>54894</v>
      </c>
      <c r="O88" s="45">
        <v>21906</v>
      </c>
      <c r="P88" s="3">
        <v>28.52</v>
      </c>
      <c r="Q88" s="32" t="s">
        <v>81</v>
      </c>
      <c r="R88" s="32" t="s">
        <v>29</v>
      </c>
      <c r="S88" s="32" t="s">
        <v>40</v>
      </c>
      <c r="T88" s="32" t="s">
        <v>41</v>
      </c>
      <c r="U88" s="38">
        <v>5</v>
      </c>
      <c r="V88" s="9"/>
    </row>
    <row r="89" spans="1:22" x14ac:dyDescent="0.35">
      <c r="A89" s="18" t="s">
        <v>181</v>
      </c>
      <c r="B89" s="8">
        <v>45316</v>
      </c>
      <c r="C89" s="23" t="s">
        <v>33</v>
      </c>
      <c r="D89" s="23" t="s">
        <v>47</v>
      </c>
      <c r="E89" s="23" t="s">
        <v>48</v>
      </c>
      <c r="F89" s="28">
        <v>2024</v>
      </c>
      <c r="G89" s="23" t="s">
        <v>43</v>
      </c>
      <c r="H89" s="23" t="s">
        <v>59</v>
      </c>
      <c r="I89" s="23" t="s">
        <v>50</v>
      </c>
      <c r="J89" s="46">
        <v>22000</v>
      </c>
      <c r="K89" s="4">
        <v>9</v>
      </c>
      <c r="L89" s="5">
        <v>0</v>
      </c>
      <c r="M89" s="46">
        <v>198000</v>
      </c>
      <c r="N89" s="46">
        <v>129684</v>
      </c>
      <c r="O89" s="46">
        <v>68316</v>
      </c>
      <c r="P89" s="6">
        <v>34.5</v>
      </c>
      <c r="Q89" s="33" t="s">
        <v>39</v>
      </c>
      <c r="R89" s="33" t="s">
        <v>45</v>
      </c>
      <c r="S89" s="33" t="s">
        <v>68</v>
      </c>
      <c r="T89" s="33" t="s">
        <v>41</v>
      </c>
      <c r="U89" s="39">
        <v>1</v>
      </c>
      <c r="V89" s="9"/>
    </row>
    <row r="90" spans="1:22" x14ac:dyDescent="0.35">
      <c r="A90" s="17" t="s">
        <v>182</v>
      </c>
      <c r="B90" s="7">
        <v>45575</v>
      </c>
      <c r="C90" s="22" t="s">
        <v>33</v>
      </c>
      <c r="D90" s="22" t="s">
        <v>23</v>
      </c>
      <c r="E90" s="22" t="s">
        <v>24</v>
      </c>
      <c r="F90" s="27">
        <v>2024</v>
      </c>
      <c r="G90" s="22" t="s">
        <v>43</v>
      </c>
      <c r="H90" s="22" t="s">
        <v>174</v>
      </c>
      <c r="I90" s="22" t="s">
        <v>27</v>
      </c>
      <c r="J90" s="45">
        <v>12000</v>
      </c>
      <c r="K90" s="1">
        <v>3</v>
      </c>
      <c r="L90" s="2">
        <v>15</v>
      </c>
      <c r="M90" s="45">
        <v>30600</v>
      </c>
      <c r="N90" s="45">
        <v>18388</v>
      </c>
      <c r="O90" s="45">
        <v>12212</v>
      </c>
      <c r="P90" s="3">
        <v>39.909999999999997</v>
      </c>
      <c r="Q90" s="32" t="s">
        <v>28</v>
      </c>
      <c r="R90" s="32" t="s">
        <v>76</v>
      </c>
      <c r="S90" s="32" t="s">
        <v>57</v>
      </c>
      <c r="T90" s="32" t="s">
        <v>41</v>
      </c>
      <c r="U90" s="38">
        <v>3</v>
      </c>
      <c r="V90" s="9"/>
    </row>
    <row r="91" spans="1:22" x14ac:dyDescent="0.35">
      <c r="A91" s="18" t="s">
        <v>183</v>
      </c>
      <c r="B91" s="8">
        <v>45310</v>
      </c>
      <c r="C91" s="23" t="s">
        <v>78</v>
      </c>
      <c r="D91" s="23" t="s">
        <v>47</v>
      </c>
      <c r="E91" s="23" t="s">
        <v>48</v>
      </c>
      <c r="F91" s="28">
        <v>2024</v>
      </c>
      <c r="G91" s="23" t="s">
        <v>43</v>
      </c>
      <c r="H91" s="23" t="s">
        <v>131</v>
      </c>
      <c r="I91" s="23" t="s">
        <v>63</v>
      </c>
      <c r="J91" s="46">
        <v>10000</v>
      </c>
      <c r="K91" s="4">
        <v>4</v>
      </c>
      <c r="L91" s="5">
        <v>10</v>
      </c>
      <c r="M91" s="46">
        <v>36000</v>
      </c>
      <c r="N91" s="46">
        <v>22322</v>
      </c>
      <c r="O91" s="46">
        <v>13678</v>
      </c>
      <c r="P91" s="6">
        <v>37.99</v>
      </c>
      <c r="Q91" s="33" t="s">
        <v>39</v>
      </c>
      <c r="R91" s="33" t="s">
        <v>56</v>
      </c>
      <c r="S91" s="33" t="s">
        <v>68</v>
      </c>
      <c r="T91" s="33" t="s">
        <v>41</v>
      </c>
      <c r="U91" s="39">
        <v>5</v>
      </c>
      <c r="V91" s="9"/>
    </row>
    <row r="92" spans="1:22" x14ac:dyDescent="0.35">
      <c r="A92" s="17" t="s">
        <v>184</v>
      </c>
      <c r="B92" s="7">
        <v>45626</v>
      </c>
      <c r="C92" s="22" t="s">
        <v>53</v>
      </c>
      <c r="D92" s="22" t="s">
        <v>110</v>
      </c>
      <c r="E92" s="22" t="s">
        <v>24</v>
      </c>
      <c r="F92" s="27">
        <v>2024</v>
      </c>
      <c r="G92" s="22" t="s">
        <v>43</v>
      </c>
      <c r="H92" s="22" t="s">
        <v>113</v>
      </c>
      <c r="I92" s="22" t="s">
        <v>38</v>
      </c>
      <c r="J92" s="45">
        <v>3500</v>
      </c>
      <c r="K92" s="1">
        <v>10</v>
      </c>
      <c r="L92" s="2">
        <v>0</v>
      </c>
      <c r="M92" s="45">
        <v>35000</v>
      </c>
      <c r="N92" s="45">
        <v>20632</v>
      </c>
      <c r="O92" s="45">
        <v>14368</v>
      </c>
      <c r="P92" s="3">
        <v>41.05</v>
      </c>
      <c r="Q92" s="32" t="s">
        <v>81</v>
      </c>
      <c r="R92" s="32" t="s">
        <v>67</v>
      </c>
      <c r="S92" s="32" t="s">
        <v>57</v>
      </c>
      <c r="T92" s="32" t="s">
        <v>41</v>
      </c>
      <c r="U92" s="38">
        <v>3</v>
      </c>
      <c r="V92" s="9"/>
    </row>
    <row r="93" spans="1:22" x14ac:dyDescent="0.35">
      <c r="A93" s="18" t="s">
        <v>185</v>
      </c>
      <c r="B93" s="8">
        <v>45620</v>
      </c>
      <c r="C93" s="23" t="s">
        <v>70</v>
      </c>
      <c r="D93" s="23" t="s">
        <v>110</v>
      </c>
      <c r="E93" s="23" t="s">
        <v>24</v>
      </c>
      <c r="F93" s="28">
        <v>2024</v>
      </c>
      <c r="G93" s="23" t="s">
        <v>61</v>
      </c>
      <c r="H93" s="23" t="s">
        <v>186</v>
      </c>
      <c r="I93" s="23" t="s">
        <v>55</v>
      </c>
      <c r="J93" s="46">
        <v>20000</v>
      </c>
      <c r="K93" s="4">
        <v>2</v>
      </c>
      <c r="L93" s="5">
        <v>5</v>
      </c>
      <c r="M93" s="46">
        <v>38000</v>
      </c>
      <c r="N93" s="46">
        <v>27006</v>
      </c>
      <c r="O93" s="46">
        <v>10994</v>
      </c>
      <c r="P93" s="6">
        <v>28.93</v>
      </c>
      <c r="Q93" s="33" t="s">
        <v>75</v>
      </c>
      <c r="R93" s="33" t="s">
        <v>45</v>
      </c>
      <c r="S93" s="33" t="s">
        <v>40</v>
      </c>
      <c r="T93" s="33" t="s">
        <v>41</v>
      </c>
      <c r="U93" s="39">
        <v>3</v>
      </c>
      <c r="V93" s="9"/>
    </row>
    <row r="94" spans="1:22" x14ac:dyDescent="0.35">
      <c r="A94" s="17" t="s">
        <v>187</v>
      </c>
      <c r="B94" s="7">
        <v>45130</v>
      </c>
      <c r="C94" s="22" t="s">
        <v>70</v>
      </c>
      <c r="D94" s="22" t="s">
        <v>71</v>
      </c>
      <c r="E94" s="22" t="s">
        <v>72</v>
      </c>
      <c r="F94" s="27">
        <v>2023</v>
      </c>
      <c r="G94" s="22" t="s">
        <v>61</v>
      </c>
      <c r="H94" s="22" t="s">
        <v>98</v>
      </c>
      <c r="I94" s="22" t="s">
        <v>63</v>
      </c>
      <c r="J94" s="45">
        <v>28000</v>
      </c>
      <c r="K94" s="1">
        <v>2</v>
      </c>
      <c r="L94" s="2">
        <v>0</v>
      </c>
      <c r="M94" s="45">
        <v>56000</v>
      </c>
      <c r="N94" s="45">
        <v>34431</v>
      </c>
      <c r="O94" s="45">
        <v>21569</v>
      </c>
      <c r="P94" s="3">
        <v>38.520000000000003</v>
      </c>
      <c r="Q94" s="32" t="s">
        <v>81</v>
      </c>
      <c r="R94" s="32" t="s">
        <v>29</v>
      </c>
      <c r="S94" s="32" t="s">
        <v>57</v>
      </c>
      <c r="T94" s="32" t="s">
        <v>31</v>
      </c>
      <c r="U94" s="38">
        <v>4</v>
      </c>
      <c r="V94" s="9"/>
    </row>
    <row r="95" spans="1:22" x14ac:dyDescent="0.35">
      <c r="A95" s="18" t="s">
        <v>188</v>
      </c>
      <c r="B95" s="8">
        <v>45208</v>
      </c>
      <c r="C95" s="23" t="s">
        <v>90</v>
      </c>
      <c r="D95" s="23" t="s">
        <v>23</v>
      </c>
      <c r="E95" s="23" t="s">
        <v>24</v>
      </c>
      <c r="F95" s="28">
        <v>2023</v>
      </c>
      <c r="G95" s="23" t="s">
        <v>61</v>
      </c>
      <c r="H95" s="23" t="s">
        <v>101</v>
      </c>
      <c r="I95" s="23" t="s">
        <v>27</v>
      </c>
      <c r="J95" s="46">
        <v>9000</v>
      </c>
      <c r="K95" s="4">
        <v>1</v>
      </c>
      <c r="L95" s="5">
        <v>10</v>
      </c>
      <c r="M95" s="46">
        <v>8100</v>
      </c>
      <c r="N95" s="46">
        <v>5481</v>
      </c>
      <c r="O95" s="46">
        <v>2619</v>
      </c>
      <c r="P95" s="6">
        <v>32.33</v>
      </c>
      <c r="Q95" s="33" t="s">
        <v>81</v>
      </c>
      <c r="R95" s="33" t="s">
        <v>56</v>
      </c>
      <c r="S95" s="33" t="s">
        <v>85</v>
      </c>
      <c r="T95" s="33" t="s">
        <v>31</v>
      </c>
      <c r="U95" s="39">
        <v>2</v>
      </c>
      <c r="V95" s="9"/>
    </row>
    <row r="96" spans="1:22" x14ac:dyDescent="0.35">
      <c r="A96" s="17" t="s">
        <v>189</v>
      </c>
      <c r="B96" s="7">
        <v>45562</v>
      </c>
      <c r="C96" s="22" t="s">
        <v>78</v>
      </c>
      <c r="D96" s="22" t="s">
        <v>79</v>
      </c>
      <c r="E96" s="22" t="s">
        <v>72</v>
      </c>
      <c r="F96" s="27">
        <v>2024</v>
      </c>
      <c r="G96" s="22" t="s">
        <v>61</v>
      </c>
      <c r="H96" s="22" t="s">
        <v>104</v>
      </c>
      <c r="I96" s="22" t="s">
        <v>50</v>
      </c>
      <c r="J96" s="45">
        <v>15000</v>
      </c>
      <c r="K96" s="1">
        <v>2</v>
      </c>
      <c r="L96" s="2">
        <v>15</v>
      </c>
      <c r="M96" s="45">
        <v>25500</v>
      </c>
      <c r="N96" s="45">
        <v>16827</v>
      </c>
      <c r="O96" s="45">
        <v>8673</v>
      </c>
      <c r="P96" s="3">
        <v>34.01</v>
      </c>
      <c r="Q96" s="32" t="s">
        <v>81</v>
      </c>
      <c r="R96" s="32" t="s">
        <v>67</v>
      </c>
      <c r="S96" s="32" t="s">
        <v>30</v>
      </c>
      <c r="T96" s="32" t="s">
        <v>31</v>
      </c>
      <c r="U96" s="38">
        <v>1</v>
      </c>
      <c r="V96" s="9"/>
    </row>
    <row r="97" spans="1:22" x14ac:dyDescent="0.35">
      <c r="A97" s="18" t="s">
        <v>190</v>
      </c>
      <c r="B97" s="8">
        <v>45229</v>
      </c>
      <c r="C97" s="23" t="s">
        <v>90</v>
      </c>
      <c r="D97" s="23" t="s">
        <v>23</v>
      </c>
      <c r="E97" s="23" t="s">
        <v>24</v>
      </c>
      <c r="F97" s="28">
        <v>2023</v>
      </c>
      <c r="G97" s="23" t="s">
        <v>61</v>
      </c>
      <c r="H97" s="23" t="s">
        <v>59</v>
      </c>
      <c r="I97" s="23" t="s">
        <v>50</v>
      </c>
      <c r="J97" s="46">
        <v>22000</v>
      </c>
      <c r="K97" s="4">
        <v>3</v>
      </c>
      <c r="L97" s="5">
        <v>0</v>
      </c>
      <c r="M97" s="46">
        <v>66000</v>
      </c>
      <c r="N97" s="46">
        <v>37783</v>
      </c>
      <c r="O97" s="46">
        <v>28217</v>
      </c>
      <c r="P97" s="6">
        <v>42.75</v>
      </c>
      <c r="Q97" s="33" t="s">
        <v>75</v>
      </c>
      <c r="R97" s="33" t="s">
        <v>45</v>
      </c>
      <c r="S97" s="33" t="s">
        <v>85</v>
      </c>
      <c r="T97" s="33" t="s">
        <v>31</v>
      </c>
      <c r="U97" s="39">
        <v>3</v>
      </c>
      <c r="V97" s="9"/>
    </row>
    <row r="98" spans="1:22" x14ac:dyDescent="0.35">
      <c r="A98" s="17" t="s">
        <v>191</v>
      </c>
      <c r="B98" s="7">
        <v>45420</v>
      </c>
      <c r="C98" s="22" t="s">
        <v>22</v>
      </c>
      <c r="D98" s="22" t="s">
        <v>116</v>
      </c>
      <c r="E98" s="22" t="s">
        <v>35</v>
      </c>
      <c r="F98" s="27">
        <v>2024</v>
      </c>
      <c r="G98" s="22" t="s">
        <v>61</v>
      </c>
      <c r="H98" s="22" t="s">
        <v>145</v>
      </c>
      <c r="I98" s="22" t="s">
        <v>50</v>
      </c>
      <c r="J98" s="45">
        <v>12000</v>
      </c>
      <c r="K98" s="1">
        <v>2</v>
      </c>
      <c r="L98" s="2">
        <v>5</v>
      </c>
      <c r="M98" s="45">
        <v>22800</v>
      </c>
      <c r="N98" s="45">
        <v>16272</v>
      </c>
      <c r="O98" s="45">
        <v>6528</v>
      </c>
      <c r="P98" s="3">
        <v>28.63</v>
      </c>
      <c r="Q98" s="32" t="s">
        <v>39</v>
      </c>
      <c r="R98" s="32" t="s">
        <v>56</v>
      </c>
      <c r="S98" s="32" t="s">
        <v>40</v>
      </c>
      <c r="T98" s="32" t="s">
        <v>31</v>
      </c>
      <c r="U98" s="38">
        <v>4</v>
      </c>
      <c r="V98" s="9"/>
    </row>
    <row r="99" spans="1:22" x14ac:dyDescent="0.35">
      <c r="A99" s="18" t="s">
        <v>192</v>
      </c>
      <c r="B99" s="8">
        <v>44941</v>
      </c>
      <c r="C99" s="23" t="s">
        <v>70</v>
      </c>
      <c r="D99" s="23" t="s">
        <v>47</v>
      </c>
      <c r="E99" s="23" t="s">
        <v>48</v>
      </c>
      <c r="F99" s="28">
        <v>2023</v>
      </c>
      <c r="G99" s="23" t="s">
        <v>61</v>
      </c>
      <c r="H99" s="23" t="s">
        <v>49</v>
      </c>
      <c r="I99" s="23" t="s">
        <v>50</v>
      </c>
      <c r="J99" s="46">
        <v>18000</v>
      </c>
      <c r="K99" s="4">
        <v>2</v>
      </c>
      <c r="L99" s="5">
        <v>5</v>
      </c>
      <c r="M99" s="46">
        <v>34200</v>
      </c>
      <c r="N99" s="46">
        <v>20953</v>
      </c>
      <c r="O99" s="46">
        <v>13247</v>
      </c>
      <c r="P99" s="6">
        <v>38.729999999999997</v>
      </c>
      <c r="Q99" s="33" t="s">
        <v>81</v>
      </c>
      <c r="R99" s="33" t="s">
        <v>29</v>
      </c>
      <c r="S99" s="33" t="s">
        <v>40</v>
      </c>
      <c r="T99" s="33" t="s">
        <v>31</v>
      </c>
      <c r="U99" s="39">
        <v>2</v>
      </c>
      <c r="V99" s="9"/>
    </row>
    <row r="100" spans="1:22" x14ac:dyDescent="0.35">
      <c r="A100" s="17" t="s">
        <v>193</v>
      </c>
      <c r="B100" s="7">
        <v>45409</v>
      </c>
      <c r="C100" s="22" t="s">
        <v>53</v>
      </c>
      <c r="D100" s="22" t="s">
        <v>34</v>
      </c>
      <c r="E100" s="22" t="s">
        <v>35</v>
      </c>
      <c r="F100" s="27">
        <v>2024</v>
      </c>
      <c r="G100" s="22" t="s">
        <v>61</v>
      </c>
      <c r="H100" s="22" t="s">
        <v>101</v>
      </c>
      <c r="I100" s="22" t="s">
        <v>27</v>
      </c>
      <c r="J100" s="45">
        <v>9000</v>
      </c>
      <c r="K100" s="1">
        <v>9</v>
      </c>
      <c r="L100" s="2">
        <v>0</v>
      </c>
      <c r="M100" s="45">
        <v>81000</v>
      </c>
      <c r="N100" s="45">
        <v>57153</v>
      </c>
      <c r="O100" s="45">
        <v>23847</v>
      </c>
      <c r="P100" s="3">
        <v>29.44</v>
      </c>
      <c r="Q100" s="32" t="s">
        <v>39</v>
      </c>
      <c r="R100" s="32" t="s">
        <v>76</v>
      </c>
      <c r="S100" s="32" t="s">
        <v>40</v>
      </c>
      <c r="T100" s="32" t="s">
        <v>41</v>
      </c>
      <c r="U100" s="38">
        <v>1</v>
      </c>
      <c r="V100" s="9"/>
    </row>
    <row r="101" spans="1:22" x14ac:dyDescent="0.35">
      <c r="A101" s="18" t="s">
        <v>194</v>
      </c>
      <c r="B101" s="8">
        <v>45070</v>
      </c>
      <c r="C101" s="23" t="s">
        <v>22</v>
      </c>
      <c r="D101" s="23" t="s">
        <v>116</v>
      </c>
      <c r="E101" s="23" t="s">
        <v>35</v>
      </c>
      <c r="F101" s="28">
        <v>2023</v>
      </c>
      <c r="G101" s="23" t="s">
        <v>25</v>
      </c>
      <c r="H101" s="23" t="s">
        <v>26</v>
      </c>
      <c r="I101" s="23" t="s">
        <v>27</v>
      </c>
      <c r="J101" s="46">
        <v>5000</v>
      </c>
      <c r="K101" s="4">
        <v>5</v>
      </c>
      <c r="L101" s="5">
        <v>5</v>
      </c>
      <c r="M101" s="46">
        <v>23750</v>
      </c>
      <c r="N101" s="46">
        <v>13531</v>
      </c>
      <c r="O101" s="46">
        <v>10219</v>
      </c>
      <c r="P101" s="6">
        <v>43.03</v>
      </c>
      <c r="Q101" s="33" t="s">
        <v>39</v>
      </c>
      <c r="R101" s="33" t="s">
        <v>29</v>
      </c>
      <c r="S101" s="33" t="s">
        <v>68</v>
      </c>
      <c r="T101" s="33" t="s">
        <v>41</v>
      </c>
      <c r="U101" s="39">
        <v>3</v>
      </c>
      <c r="V101" s="9"/>
    </row>
    <row r="102" spans="1:22" x14ac:dyDescent="0.35">
      <c r="A102" s="17" t="s">
        <v>195</v>
      </c>
      <c r="B102" s="7">
        <v>45613</v>
      </c>
      <c r="C102" s="22" t="s">
        <v>70</v>
      </c>
      <c r="D102" s="22" t="s">
        <v>110</v>
      </c>
      <c r="E102" s="22" t="s">
        <v>24</v>
      </c>
      <c r="F102" s="27">
        <v>2024</v>
      </c>
      <c r="G102" s="22" t="s">
        <v>25</v>
      </c>
      <c r="H102" s="22" t="s">
        <v>126</v>
      </c>
      <c r="I102" s="22" t="s">
        <v>55</v>
      </c>
      <c r="J102" s="45">
        <v>12000</v>
      </c>
      <c r="K102" s="1">
        <v>10</v>
      </c>
      <c r="L102" s="2">
        <v>15</v>
      </c>
      <c r="M102" s="45">
        <v>102000</v>
      </c>
      <c r="N102" s="45">
        <v>68699</v>
      </c>
      <c r="O102" s="45">
        <v>33301</v>
      </c>
      <c r="P102" s="3">
        <v>32.65</v>
      </c>
      <c r="Q102" s="32" t="s">
        <v>51</v>
      </c>
      <c r="R102" s="32" t="s">
        <v>76</v>
      </c>
      <c r="S102" s="32" t="s">
        <v>40</v>
      </c>
      <c r="T102" s="32" t="s">
        <v>41</v>
      </c>
      <c r="U102" s="38">
        <v>1</v>
      </c>
      <c r="V102" s="9"/>
    </row>
    <row r="103" spans="1:22" x14ac:dyDescent="0.35">
      <c r="A103" s="18" t="s">
        <v>196</v>
      </c>
      <c r="B103" s="8">
        <v>45633</v>
      </c>
      <c r="C103" s="23" t="s">
        <v>53</v>
      </c>
      <c r="D103" s="23" t="s">
        <v>97</v>
      </c>
      <c r="E103" s="23" t="s">
        <v>24</v>
      </c>
      <c r="F103" s="28">
        <v>2024</v>
      </c>
      <c r="G103" s="23" t="s">
        <v>61</v>
      </c>
      <c r="H103" s="23" t="s">
        <v>104</v>
      </c>
      <c r="I103" s="23" t="s">
        <v>50</v>
      </c>
      <c r="J103" s="46">
        <v>15000</v>
      </c>
      <c r="K103" s="4">
        <v>8</v>
      </c>
      <c r="L103" s="5">
        <v>5</v>
      </c>
      <c r="M103" s="46">
        <v>114000</v>
      </c>
      <c r="N103" s="46">
        <v>81122</v>
      </c>
      <c r="O103" s="46">
        <v>32878</v>
      </c>
      <c r="P103" s="6">
        <v>28.84</v>
      </c>
      <c r="Q103" s="33" t="s">
        <v>81</v>
      </c>
      <c r="R103" s="33" t="s">
        <v>76</v>
      </c>
      <c r="S103" s="33" t="s">
        <v>57</v>
      </c>
      <c r="T103" s="33" t="s">
        <v>31</v>
      </c>
      <c r="U103" s="39">
        <v>4</v>
      </c>
      <c r="V103" s="9"/>
    </row>
    <row r="104" spans="1:22" x14ac:dyDescent="0.35">
      <c r="A104" s="17" t="s">
        <v>197</v>
      </c>
      <c r="B104" s="7">
        <v>45209</v>
      </c>
      <c r="C104" s="22" t="s">
        <v>83</v>
      </c>
      <c r="D104" s="22" t="s">
        <v>23</v>
      </c>
      <c r="E104" s="22" t="s">
        <v>24</v>
      </c>
      <c r="F104" s="27">
        <v>2023</v>
      </c>
      <c r="G104" s="22" t="s">
        <v>61</v>
      </c>
      <c r="H104" s="22" t="s">
        <v>106</v>
      </c>
      <c r="I104" s="22" t="s">
        <v>38</v>
      </c>
      <c r="J104" s="45">
        <v>12000</v>
      </c>
      <c r="K104" s="1">
        <v>8</v>
      </c>
      <c r="L104" s="2">
        <v>0</v>
      </c>
      <c r="M104" s="45">
        <v>96000</v>
      </c>
      <c r="N104" s="45">
        <v>63616</v>
      </c>
      <c r="O104" s="45">
        <v>32384</v>
      </c>
      <c r="P104" s="3">
        <v>33.729999999999997</v>
      </c>
      <c r="Q104" s="32" t="s">
        <v>75</v>
      </c>
      <c r="R104" s="32" t="s">
        <v>76</v>
      </c>
      <c r="S104" s="32" t="s">
        <v>30</v>
      </c>
      <c r="T104" s="32" t="s">
        <v>31</v>
      </c>
      <c r="U104" s="38">
        <v>2</v>
      </c>
      <c r="V104" s="9"/>
    </row>
    <row r="105" spans="1:22" x14ac:dyDescent="0.35">
      <c r="A105" s="18" t="s">
        <v>198</v>
      </c>
      <c r="B105" s="8">
        <v>45505</v>
      </c>
      <c r="C105" s="23" t="s">
        <v>33</v>
      </c>
      <c r="D105" s="23" t="s">
        <v>108</v>
      </c>
      <c r="E105" s="23" t="s">
        <v>72</v>
      </c>
      <c r="F105" s="28">
        <v>2024</v>
      </c>
      <c r="G105" s="23" t="s">
        <v>43</v>
      </c>
      <c r="H105" s="23" t="s">
        <v>106</v>
      </c>
      <c r="I105" s="23" t="s">
        <v>38</v>
      </c>
      <c r="J105" s="46">
        <v>12000</v>
      </c>
      <c r="K105" s="4">
        <v>9</v>
      </c>
      <c r="L105" s="5">
        <v>0</v>
      </c>
      <c r="M105" s="46">
        <v>108000</v>
      </c>
      <c r="N105" s="46">
        <v>70166</v>
      </c>
      <c r="O105" s="46">
        <v>37834</v>
      </c>
      <c r="P105" s="6">
        <v>35.03</v>
      </c>
      <c r="Q105" s="33" t="s">
        <v>39</v>
      </c>
      <c r="R105" s="33" t="s">
        <v>45</v>
      </c>
      <c r="S105" s="33" t="s">
        <v>68</v>
      </c>
      <c r="T105" s="33" t="s">
        <v>41</v>
      </c>
      <c r="U105" s="39">
        <v>2</v>
      </c>
      <c r="V105" s="9"/>
    </row>
    <row r="106" spans="1:22" x14ac:dyDescent="0.35">
      <c r="A106" s="17" t="s">
        <v>199</v>
      </c>
      <c r="B106" s="7">
        <v>45060</v>
      </c>
      <c r="C106" s="22" t="s">
        <v>70</v>
      </c>
      <c r="D106" s="22" t="s">
        <v>116</v>
      </c>
      <c r="E106" s="22" t="s">
        <v>35</v>
      </c>
      <c r="F106" s="27">
        <v>2023</v>
      </c>
      <c r="G106" s="22" t="s">
        <v>61</v>
      </c>
      <c r="H106" s="22" t="s">
        <v>54</v>
      </c>
      <c r="I106" s="22" t="s">
        <v>55</v>
      </c>
      <c r="J106" s="45">
        <v>18000</v>
      </c>
      <c r="K106" s="1">
        <v>3</v>
      </c>
      <c r="L106" s="2">
        <v>0</v>
      </c>
      <c r="M106" s="45">
        <v>54000</v>
      </c>
      <c r="N106" s="45">
        <v>35769</v>
      </c>
      <c r="O106" s="45">
        <v>18231</v>
      </c>
      <c r="P106" s="3">
        <v>33.76</v>
      </c>
      <c r="Q106" s="32" t="s">
        <v>28</v>
      </c>
      <c r="R106" s="32" t="s">
        <v>56</v>
      </c>
      <c r="S106" s="32" t="s">
        <v>30</v>
      </c>
      <c r="T106" s="32" t="s">
        <v>31</v>
      </c>
      <c r="U106" s="38">
        <v>5</v>
      </c>
      <c r="V106" s="9"/>
    </row>
    <row r="107" spans="1:22" x14ac:dyDescent="0.35">
      <c r="A107" s="18" t="s">
        <v>200</v>
      </c>
      <c r="B107" s="8">
        <v>45258</v>
      </c>
      <c r="C107" s="23" t="s">
        <v>83</v>
      </c>
      <c r="D107" s="23" t="s">
        <v>110</v>
      </c>
      <c r="E107" s="23" t="s">
        <v>24</v>
      </c>
      <c r="F107" s="28">
        <v>2023</v>
      </c>
      <c r="G107" s="23" t="s">
        <v>43</v>
      </c>
      <c r="H107" s="23" t="s">
        <v>44</v>
      </c>
      <c r="I107" s="23" t="s">
        <v>27</v>
      </c>
      <c r="J107" s="46">
        <v>6000</v>
      </c>
      <c r="K107" s="4">
        <v>5</v>
      </c>
      <c r="L107" s="5">
        <v>0</v>
      </c>
      <c r="M107" s="46">
        <v>30000</v>
      </c>
      <c r="N107" s="46">
        <v>17146</v>
      </c>
      <c r="O107" s="46">
        <v>12854</v>
      </c>
      <c r="P107" s="6">
        <v>42.85</v>
      </c>
      <c r="Q107" s="33" t="s">
        <v>51</v>
      </c>
      <c r="R107" s="33" t="s">
        <v>29</v>
      </c>
      <c r="S107" s="33" t="s">
        <v>30</v>
      </c>
      <c r="T107" s="33" t="s">
        <v>41</v>
      </c>
      <c r="U107" s="39">
        <v>4</v>
      </c>
      <c r="V107" s="9"/>
    </row>
    <row r="108" spans="1:22" x14ac:dyDescent="0.35">
      <c r="A108" s="17" t="s">
        <v>201</v>
      </c>
      <c r="B108" s="7">
        <v>45297</v>
      </c>
      <c r="C108" s="22" t="s">
        <v>53</v>
      </c>
      <c r="D108" s="22" t="s">
        <v>47</v>
      </c>
      <c r="E108" s="22" t="s">
        <v>48</v>
      </c>
      <c r="F108" s="27">
        <v>2024</v>
      </c>
      <c r="G108" s="22" t="s">
        <v>61</v>
      </c>
      <c r="H108" s="22" t="s">
        <v>88</v>
      </c>
      <c r="I108" s="22" t="s">
        <v>55</v>
      </c>
      <c r="J108" s="45">
        <v>8000</v>
      </c>
      <c r="K108" s="1">
        <v>2</v>
      </c>
      <c r="L108" s="2">
        <v>5</v>
      </c>
      <c r="M108" s="45">
        <v>15200</v>
      </c>
      <c r="N108" s="45">
        <v>9662</v>
      </c>
      <c r="O108" s="45">
        <v>5538</v>
      </c>
      <c r="P108" s="3">
        <v>36.43</v>
      </c>
      <c r="Q108" s="32" t="s">
        <v>75</v>
      </c>
      <c r="R108" s="32" t="s">
        <v>76</v>
      </c>
      <c r="S108" s="32" t="s">
        <v>85</v>
      </c>
      <c r="T108" s="32" t="s">
        <v>41</v>
      </c>
      <c r="U108" s="38">
        <v>1</v>
      </c>
      <c r="V108" s="9"/>
    </row>
    <row r="109" spans="1:22" x14ac:dyDescent="0.35">
      <c r="A109" s="18" t="s">
        <v>202</v>
      </c>
      <c r="B109" s="8">
        <v>44989</v>
      </c>
      <c r="C109" s="23" t="s">
        <v>53</v>
      </c>
      <c r="D109" s="23" t="s">
        <v>65</v>
      </c>
      <c r="E109" s="23" t="s">
        <v>48</v>
      </c>
      <c r="F109" s="28">
        <v>2023</v>
      </c>
      <c r="G109" s="23" t="s">
        <v>61</v>
      </c>
      <c r="H109" s="23" t="s">
        <v>98</v>
      </c>
      <c r="I109" s="23" t="s">
        <v>63</v>
      </c>
      <c r="J109" s="46">
        <v>28000</v>
      </c>
      <c r="K109" s="4">
        <v>7</v>
      </c>
      <c r="L109" s="5">
        <v>15</v>
      </c>
      <c r="M109" s="46">
        <v>166600</v>
      </c>
      <c r="N109" s="46">
        <v>94688</v>
      </c>
      <c r="O109" s="46">
        <v>71912</v>
      </c>
      <c r="P109" s="6">
        <v>43.16</v>
      </c>
      <c r="Q109" s="33" t="s">
        <v>51</v>
      </c>
      <c r="R109" s="33" t="s">
        <v>76</v>
      </c>
      <c r="S109" s="33" t="s">
        <v>30</v>
      </c>
      <c r="T109" s="33" t="s">
        <v>31</v>
      </c>
      <c r="U109" s="39">
        <v>1</v>
      </c>
      <c r="V109" s="9"/>
    </row>
    <row r="110" spans="1:22" x14ac:dyDescent="0.35">
      <c r="A110" s="17" t="s">
        <v>203</v>
      </c>
      <c r="B110" s="7">
        <v>45056</v>
      </c>
      <c r="C110" s="22" t="s">
        <v>22</v>
      </c>
      <c r="D110" s="22" t="s">
        <v>116</v>
      </c>
      <c r="E110" s="22" t="s">
        <v>35</v>
      </c>
      <c r="F110" s="27">
        <v>2023</v>
      </c>
      <c r="G110" s="22" t="s">
        <v>61</v>
      </c>
      <c r="H110" s="22" t="s">
        <v>49</v>
      </c>
      <c r="I110" s="22" t="s">
        <v>50</v>
      </c>
      <c r="J110" s="45">
        <v>18000</v>
      </c>
      <c r="K110" s="1">
        <v>10</v>
      </c>
      <c r="L110" s="2">
        <v>10</v>
      </c>
      <c r="M110" s="45">
        <v>162000</v>
      </c>
      <c r="N110" s="45">
        <v>108713</v>
      </c>
      <c r="O110" s="45">
        <v>53287</v>
      </c>
      <c r="P110" s="3">
        <v>32.89</v>
      </c>
      <c r="Q110" s="32" t="s">
        <v>51</v>
      </c>
      <c r="R110" s="32" t="s">
        <v>29</v>
      </c>
      <c r="S110" s="32" t="s">
        <v>85</v>
      </c>
      <c r="T110" s="32" t="s">
        <v>41</v>
      </c>
      <c r="U110" s="38">
        <v>5</v>
      </c>
      <c r="V110" s="9"/>
    </row>
    <row r="111" spans="1:22" x14ac:dyDescent="0.35">
      <c r="A111" s="18" t="s">
        <v>204</v>
      </c>
      <c r="B111" s="8">
        <v>45546</v>
      </c>
      <c r="C111" s="23" t="s">
        <v>22</v>
      </c>
      <c r="D111" s="23" t="s">
        <v>79</v>
      </c>
      <c r="E111" s="23" t="s">
        <v>72</v>
      </c>
      <c r="F111" s="28">
        <v>2024</v>
      </c>
      <c r="G111" s="23" t="s">
        <v>25</v>
      </c>
      <c r="H111" s="23" t="s">
        <v>93</v>
      </c>
      <c r="I111" s="23" t="s">
        <v>63</v>
      </c>
      <c r="J111" s="46">
        <v>14000</v>
      </c>
      <c r="K111" s="4">
        <v>2</v>
      </c>
      <c r="L111" s="5">
        <v>20</v>
      </c>
      <c r="M111" s="46">
        <v>22400</v>
      </c>
      <c r="N111" s="46">
        <v>14813</v>
      </c>
      <c r="O111" s="46">
        <v>7587</v>
      </c>
      <c r="P111" s="6">
        <v>33.869999999999997</v>
      </c>
      <c r="Q111" s="33" t="s">
        <v>75</v>
      </c>
      <c r="R111" s="33" t="s">
        <v>56</v>
      </c>
      <c r="S111" s="33" t="s">
        <v>40</v>
      </c>
      <c r="T111" s="33" t="s">
        <v>31</v>
      </c>
      <c r="U111" s="39">
        <v>4</v>
      </c>
      <c r="V111" s="9"/>
    </row>
    <row r="112" spans="1:22" x14ac:dyDescent="0.35">
      <c r="A112" s="17" t="s">
        <v>205</v>
      </c>
      <c r="B112" s="7">
        <v>45274</v>
      </c>
      <c r="C112" s="22" t="s">
        <v>33</v>
      </c>
      <c r="D112" s="22" t="s">
        <v>97</v>
      </c>
      <c r="E112" s="22" t="s">
        <v>24</v>
      </c>
      <c r="F112" s="27">
        <v>2023</v>
      </c>
      <c r="G112" s="22" t="s">
        <v>61</v>
      </c>
      <c r="H112" s="22" t="s">
        <v>98</v>
      </c>
      <c r="I112" s="22" t="s">
        <v>63</v>
      </c>
      <c r="J112" s="45">
        <v>28000</v>
      </c>
      <c r="K112" s="1">
        <v>7</v>
      </c>
      <c r="L112" s="2">
        <v>15</v>
      </c>
      <c r="M112" s="45">
        <v>166600</v>
      </c>
      <c r="N112" s="45">
        <v>94323</v>
      </c>
      <c r="O112" s="45">
        <v>72277</v>
      </c>
      <c r="P112" s="3">
        <v>43.38</v>
      </c>
      <c r="Q112" s="32" t="s">
        <v>51</v>
      </c>
      <c r="R112" s="32" t="s">
        <v>45</v>
      </c>
      <c r="S112" s="32" t="s">
        <v>57</v>
      </c>
      <c r="T112" s="32" t="s">
        <v>31</v>
      </c>
      <c r="U112" s="38">
        <v>4</v>
      </c>
      <c r="V112" s="9"/>
    </row>
    <row r="113" spans="1:22" x14ac:dyDescent="0.35">
      <c r="A113" s="18" t="s">
        <v>206</v>
      </c>
      <c r="B113" s="8">
        <v>44995</v>
      </c>
      <c r="C113" s="23" t="s">
        <v>78</v>
      </c>
      <c r="D113" s="23" t="s">
        <v>65</v>
      </c>
      <c r="E113" s="23" t="s">
        <v>48</v>
      </c>
      <c r="F113" s="28">
        <v>2023</v>
      </c>
      <c r="G113" s="23" t="s">
        <v>43</v>
      </c>
      <c r="H113" s="23" t="s">
        <v>26</v>
      </c>
      <c r="I113" s="23" t="s">
        <v>27</v>
      </c>
      <c r="J113" s="46">
        <v>5000</v>
      </c>
      <c r="K113" s="4">
        <v>2</v>
      </c>
      <c r="L113" s="5">
        <v>5</v>
      </c>
      <c r="M113" s="46">
        <v>9500</v>
      </c>
      <c r="N113" s="46">
        <v>5381</v>
      </c>
      <c r="O113" s="46">
        <v>4119</v>
      </c>
      <c r="P113" s="6">
        <v>43.36</v>
      </c>
      <c r="Q113" s="33" t="s">
        <v>81</v>
      </c>
      <c r="R113" s="33" t="s">
        <v>56</v>
      </c>
      <c r="S113" s="33" t="s">
        <v>85</v>
      </c>
      <c r="T113" s="33" t="s">
        <v>41</v>
      </c>
      <c r="U113" s="39">
        <v>1</v>
      </c>
      <c r="V113" s="9"/>
    </row>
    <row r="114" spans="1:22" x14ac:dyDescent="0.35">
      <c r="A114" s="17" t="s">
        <v>207</v>
      </c>
      <c r="B114" s="7">
        <v>45347</v>
      </c>
      <c r="C114" s="22" t="s">
        <v>70</v>
      </c>
      <c r="D114" s="22" t="s">
        <v>74</v>
      </c>
      <c r="E114" s="22" t="s">
        <v>48</v>
      </c>
      <c r="F114" s="27">
        <v>2024</v>
      </c>
      <c r="G114" s="22" t="s">
        <v>36</v>
      </c>
      <c r="H114" s="22" t="s">
        <v>59</v>
      </c>
      <c r="I114" s="22" t="s">
        <v>50</v>
      </c>
      <c r="J114" s="45">
        <v>22000</v>
      </c>
      <c r="K114" s="1">
        <v>1</v>
      </c>
      <c r="L114" s="2">
        <v>0</v>
      </c>
      <c r="M114" s="45">
        <v>22000</v>
      </c>
      <c r="N114" s="45">
        <v>14346</v>
      </c>
      <c r="O114" s="45">
        <v>7654</v>
      </c>
      <c r="P114" s="3">
        <v>34.79</v>
      </c>
      <c r="Q114" s="32" t="s">
        <v>81</v>
      </c>
      <c r="R114" s="32" t="s">
        <v>76</v>
      </c>
      <c r="S114" s="32" t="s">
        <v>85</v>
      </c>
      <c r="T114" s="32" t="s">
        <v>31</v>
      </c>
      <c r="U114" s="38">
        <v>4</v>
      </c>
      <c r="V114" s="9"/>
    </row>
    <row r="115" spans="1:22" x14ac:dyDescent="0.35">
      <c r="A115" s="18" t="s">
        <v>208</v>
      </c>
      <c r="B115" s="8">
        <v>45156</v>
      </c>
      <c r="C115" s="23" t="s">
        <v>78</v>
      </c>
      <c r="D115" s="23" t="s">
        <v>108</v>
      </c>
      <c r="E115" s="23" t="s">
        <v>72</v>
      </c>
      <c r="F115" s="28">
        <v>2023</v>
      </c>
      <c r="G115" s="23" t="s">
        <v>25</v>
      </c>
      <c r="H115" s="23" t="s">
        <v>84</v>
      </c>
      <c r="I115" s="23" t="s">
        <v>27</v>
      </c>
      <c r="J115" s="46">
        <v>8000</v>
      </c>
      <c r="K115" s="4">
        <v>9</v>
      </c>
      <c r="L115" s="5">
        <v>0</v>
      </c>
      <c r="M115" s="46">
        <v>72000</v>
      </c>
      <c r="N115" s="46">
        <v>41006</v>
      </c>
      <c r="O115" s="46">
        <v>30994</v>
      </c>
      <c r="P115" s="6">
        <v>43.05</v>
      </c>
      <c r="Q115" s="33" t="s">
        <v>81</v>
      </c>
      <c r="R115" s="33" t="s">
        <v>29</v>
      </c>
      <c r="S115" s="33" t="s">
        <v>68</v>
      </c>
      <c r="T115" s="33" t="s">
        <v>31</v>
      </c>
      <c r="U115" s="39">
        <v>5</v>
      </c>
      <c r="V115" s="9"/>
    </row>
    <row r="116" spans="1:22" x14ac:dyDescent="0.35">
      <c r="A116" s="17" t="s">
        <v>209</v>
      </c>
      <c r="B116" s="7">
        <v>45600</v>
      </c>
      <c r="C116" s="22" t="s">
        <v>90</v>
      </c>
      <c r="D116" s="22" t="s">
        <v>110</v>
      </c>
      <c r="E116" s="22" t="s">
        <v>24</v>
      </c>
      <c r="F116" s="27">
        <v>2024</v>
      </c>
      <c r="G116" s="22" t="s">
        <v>43</v>
      </c>
      <c r="H116" s="22" t="s">
        <v>117</v>
      </c>
      <c r="I116" s="22" t="s">
        <v>50</v>
      </c>
      <c r="J116" s="45">
        <v>8000</v>
      </c>
      <c r="K116" s="1">
        <v>3</v>
      </c>
      <c r="L116" s="2">
        <v>0</v>
      </c>
      <c r="M116" s="45">
        <v>24000</v>
      </c>
      <c r="N116" s="45">
        <v>16067</v>
      </c>
      <c r="O116" s="45">
        <v>7933</v>
      </c>
      <c r="P116" s="3">
        <v>33.049999999999997</v>
      </c>
      <c r="Q116" s="32" t="s">
        <v>81</v>
      </c>
      <c r="R116" s="32" t="s">
        <v>45</v>
      </c>
      <c r="S116" s="32" t="s">
        <v>57</v>
      </c>
      <c r="T116" s="32" t="s">
        <v>31</v>
      </c>
      <c r="U116" s="38">
        <v>2</v>
      </c>
      <c r="V116" s="9"/>
    </row>
    <row r="117" spans="1:22" x14ac:dyDescent="0.35">
      <c r="A117" s="18" t="s">
        <v>210</v>
      </c>
      <c r="B117" s="8">
        <v>45506</v>
      </c>
      <c r="C117" s="23" t="s">
        <v>78</v>
      </c>
      <c r="D117" s="23" t="s">
        <v>108</v>
      </c>
      <c r="E117" s="23" t="s">
        <v>72</v>
      </c>
      <c r="F117" s="28">
        <v>2024</v>
      </c>
      <c r="G117" s="23" t="s">
        <v>36</v>
      </c>
      <c r="H117" s="23" t="s">
        <v>93</v>
      </c>
      <c r="I117" s="23" t="s">
        <v>63</v>
      </c>
      <c r="J117" s="46">
        <v>14000</v>
      </c>
      <c r="K117" s="4">
        <v>3</v>
      </c>
      <c r="L117" s="5">
        <v>15</v>
      </c>
      <c r="M117" s="46">
        <v>35700</v>
      </c>
      <c r="N117" s="46">
        <v>23478</v>
      </c>
      <c r="O117" s="46">
        <v>12222</v>
      </c>
      <c r="P117" s="6">
        <v>34.24</v>
      </c>
      <c r="Q117" s="33" t="s">
        <v>28</v>
      </c>
      <c r="R117" s="33" t="s">
        <v>76</v>
      </c>
      <c r="S117" s="33" t="s">
        <v>85</v>
      </c>
      <c r="T117" s="33" t="s">
        <v>41</v>
      </c>
      <c r="U117" s="39">
        <v>4</v>
      </c>
      <c r="V117" s="9"/>
    </row>
    <row r="118" spans="1:22" x14ac:dyDescent="0.35">
      <c r="A118" s="17" t="s">
        <v>211</v>
      </c>
      <c r="B118" s="7">
        <v>45391</v>
      </c>
      <c r="C118" s="22" t="s">
        <v>83</v>
      </c>
      <c r="D118" s="22" t="s">
        <v>34</v>
      </c>
      <c r="E118" s="22" t="s">
        <v>35</v>
      </c>
      <c r="F118" s="27">
        <v>2024</v>
      </c>
      <c r="G118" s="22" t="s">
        <v>43</v>
      </c>
      <c r="H118" s="22" t="s">
        <v>104</v>
      </c>
      <c r="I118" s="22" t="s">
        <v>50</v>
      </c>
      <c r="J118" s="45">
        <v>15000</v>
      </c>
      <c r="K118" s="1">
        <v>6</v>
      </c>
      <c r="L118" s="2">
        <v>0</v>
      </c>
      <c r="M118" s="45">
        <v>90000</v>
      </c>
      <c r="N118" s="45">
        <v>60540</v>
      </c>
      <c r="O118" s="45">
        <v>29460</v>
      </c>
      <c r="P118" s="3">
        <v>32.729999999999997</v>
      </c>
      <c r="Q118" s="32" t="s">
        <v>75</v>
      </c>
      <c r="R118" s="32" t="s">
        <v>29</v>
      </c>
      <c r="S118" s="32" t="s">
        <v>30</v>
      </c>
      <c r="T118" s="32" t="s">
        <v>31</v>
      </c>
      <c r="U118" s="38">
        <v>2</v>
      </c>
      <c r="V118" s="9"/>
    </row>
    <row r="119" spans="1:22" x14ac:dyDescent="0.35">
      <c r="A119" s="18" t="s">
        <v>212</v>
      </c>
      <c r="B119" s="8">
        <v>45559</v>
      </c>
      <c r="C119" s="23" t="s">
        <v>83</v>
      </c>
      <c r="D119" s="23" t="s">
        <v>79</v>
      </c>
      <c r="E119" s="23" t="s">
        <v>72</v>
      </c>
      <c r="F119" s="28">
        <v>2024</v>
      </c>
      <c r="G119" s="23" t="s">
        <v>25</v>
      </c>
      <c r="H119" s="23" t="s">
        <v>26</v>
      </c>
      <c r="I119" s="23" t="s">
        <v>27</v>
      </c>
      <c r="J119" s="46">
        <v>5000</v>
      </c>
      <c r="K119" s="4">
        <v>5</v>
      </c>
      <c r="L119" s="5">
        <v>5</v>
      </c>
      <c r="M119" s="46">
        <v>23750</v>
      </c>
      <c r="N119" s="46">
        <v>15735</v>
      </c>
      <c r="O119" s="46">
        <v>8015</v>
      </c>
      <c r="P119" s="6">
        <v>33.75</v>
      </c>
      <c r="Q119" s="33" t="s">
        <v>51</v>
      </c>
      <c r="R119" s="33" t="s">
        <v>29</v>
      </c>
      <c r="S119" s="33" t="s">
        <v>40</v>
      </c>
      <c r="T119" s="33" t="s">
        <v>41</v>
      </c>
      <c r="U119" s="39">
        <v>2</v>
      </c>
      <c r="V119" s="9"/>
    </row>
    <row r="120" spans="1:22" x14ac:dyDescent="0.35">
      <c r="A120" s="17" t="s">
        <v>213</v>
      </c>
      <c r="B120" s="7">
        <v>45451</v>
      </c>
      <c r="C120" s="22" t="s">
        <v>53</v>
      </c>
      <c r="D120" s="22" t="s">
        <v>87</v>
      </c>
      <c r="E120" s="22" t="s">
        <v>35</v>
      </c>
      <c r="F120" s="27">
        <v>2024</v>
      </c>
      <c r="G120" s="22" t="s">
        <v>61</v>
      </c>
      <c r="H120" s="22" t="s">
        <v>84</v>
      </c>
      <c r="I120" s="22" t="s">
        <v>27</v>
      </c>
      <c r="J120" s="45">
        <v>8000</v>
      </c>
      <c r="K120" s="1">
        <v>7</v>
      </c>
      <c r="L120" s="2">
        <v>0</v>
      </c>
      <c r="M120" s="45">
        <v>56000</v>
      </c>
      <c r="N120" s="45">
        <v>33497</v>
      </c>
      <c r="O120" s="45">
        <v>22503</v>
      </c>
      <c r="P120" s="3">
        <v>40.18</v>
      </c>
      <c r="Q120" s="32" t="s">
        <v>75</v>
      </c>
      <c r="R120" s="32" t="s">
        <v>67</v>
      </c>
      <c r="S120" s="32" t="s">
        <v>85</v>
      </c>
      <c r="T120" s="32" t="s">
        <v>31</v>
      </c>
      <c r="U120" s="38">
        <v>2</v>
      </c>
      <c r="V120" s="9"/>
    </row>
    <row r="121" spans="1:22" x14ac:dyDescent="0.35">
      <c r="A121" s="18" t="s">
        <v>214</v>
      </c>
      <c r="B121" s="8">
        <v>45331</v>
      </c>
      <c r="C121" s="23" t="s">
        <v>78</v>
      </c>
      <c r="D121" s="23" t="s">
        <v>74</v>
      </c>
      <c r="E121" s="23" t="s">
        <v>48</v>
      </c>
      <c r="F121" s="28">
        <v>2024</v>
      </c>
      <c r="G121" s="23" t="s">
        <v>61</v>
      </c>
      <c r="H121" s="23" t="s">
        <v>80</v>
      </c>
      <c r="I121" s="23" t="s">
        <v>55</v>
      </c>
      <c r="J121" s="46">
        <v>25000</v>
      </c>
      <c r="K121" s="4">
        <v>1</v>
      </c>
      <c r="L121" s="5">
        <v>0</v>
      </c>
      <c r="M121" s="46">
        <v>25000</v>
      </c>
      <c r="N121" s="46">
        <v>15031</v>
      </c>
      <c r="O121" s="46">
        <v>9969</v>
      </c>
      <c r="P121" s="6">
        <v>39.880000000000003</v>
      </c>
      <c r="Q121" s="33" t="s">
        <v>39</v>
      </c>
      <c r="R121" s="33" t="s">
        <v>56</v>
      </c>
      <c r="S121" s="33" t="s">
        <v>57</v>
      </c>
      <c r="T121" s="33" t="s">
        <v>41</v>
      </c>
      <c r="U121" s="39">
        <v>1</v>
      </c>
      <c r="V121" s="9"/>
    </row>
    <row r="122" spans="1:22" x14ac:dyDescent="0.35">
      <c r="A122" s="17" t="s">
        <v>215</v>
      </c>
      <c r="B122" s="7">
        <v>44934</v>
      </c>
      <c r="C122" s="22" t="s">
        <v>70</v>
      </c>
      <c r="D122" s="22" t="s">
        <v>47</v>
      </c>
      <c r="E122" s="22" t="s">
        <v>48</v>
      </c>
      <c r="F122" s="27">
        <v>2023</v>
      </c>
      <c r="G122" s="22" t="s">
        <v>61</v>
      </c>
      <c r="H122" s="22" t="s">
        <v>98</v>
      </c>
      <c r="I122" s="22" t="s">
        <v>63</v>
      </c>
      <c r="J122" s="45">
        <v>28000</v>
      </c>
      <c r="K122" s="1">
        <v>3</v>
      </c>
      <c r="L122" s="2">
        <v>0</v>
      </c>
      <c r="M122" s="45">
        <v>84000</v>
      </c>
      <c r="N122" s="45">
        <v>51629</v>
      </c>
      <c r="O122" s="45">
        <v>32371</v>
      </c>
      <c r="P122" s="3">
        <v>38.54</v>
      </c>
      <c r="Q122" s="32" t="s">
        <v>39</v>
      </c>
      <c r="R122" s="32" t="s">
        <v>29</v>
      </c>
      <c r="S122" s="32" t="s">
        <v>85</v>
      </c>
      <c r="T122" s="32" t="s">
        <v>31</v>
      </c>
      <c r="U122" s="38">
        <v>4</v>
      </c>
      <c r="V122" s="9"/>
    </row>
    <row r="123" spans="1:22" x14ac:dyDescent="0.35">
      <c r="A123" s="18" t="s">
        <v>216</v>
      </c>
      <c r="B123" s="8">
        <v>44970</v>
      </c>
      <c r="C123" s="23" t="s">
        <v>90</v>
      </c>
      <c r="D123" s="23" t="s">
        <v>74</v>
      </c>
      <c r="E123" s="23" t="s">
        <v>48</v>
      </c>
      <c r="F123" s="28">
        <v>2023</v>
      </c>
      <c r="G123" s="23" t="s">
        <v>25</v>
      </c>
      <c r="H123" s="23" t="s">
        <v>93</v>
      </c>
      <c r="I123" s="23" t="s">
        <v>63</v>
      </c>
      <c r="J123" s="46">
        <v>14000</v>
      </c>
      <c r="K123" s="4">
        <v>8</v>
      </c>
      <c r="L123" s="5">
        <v>0</v>
      </c>
      <c r="M123" s="46">
        <v>112000</v>
      </c>
      <c r="N123" s="46">
        <v>78015</v>
      </c>
      <c r="O123" s="46">
        <v>33985</v>
      </c>
      <c r="P123" s="6">
        <v>30.34</v>
      </c>
      <c r="Q123" s="33" t="s">
        <v>75</v>
      </c>
      <c r="R123" s="33" t="s">
        <v>67</v>
      </c>
      <c r="S123" s="33" t="s">
        <v>85</v>
      </c>
      <c r="T123" s="33" t="s">
        <v>41</v>
      </c>
      <c r="U123" s="39">
        <v>3</v>
      </c>
      <c r="V123" s="9"/>
    </row>
    <row r="124" spans="1:22" x14ac:dyDescent="0.35">
      <c r="A124" s="17" t="s">
        <v>217</v>
      </c>
      <c r="B124" s="7">
        <v>45044</v>
      </c>
      <c r="C124" s="22" t="s">
        <v>78</v>
      </c>
      <c r="D124" s="22" t="s">
        <v>34</v>
      </c>
      <c r="E124" s="22" t="s">
        <v>35</v>
      </c>
      <c r="F124" s="27">
        <v>2023</v>
      </c>
      <c r="G124" s="22" t="s">
        <v>43</v>
      </c>
      <c r="H124" s="22" t="s">
        <v>93</v>
      </c>
      <c r="I124" s="22" t="s">
        <v>63</v>
      </c>
      <c r="J124" s="45">
        <v>14000</v>
      </c>
      <c r="K124" s="1">
        <v>6</v>
      </c>
      <c r="L124" s="2">
        <v>0</v>
      </c>
      <c r="M124" s="45">
        <v>84000</v>
      </c>
      <c r="N124" s="45">
        <v>57643</v>
      </c>
      <c r="O124" s="45">
        <v>26357</v>
      </c>
      <c r="P124" s="3">
        <v>31.38</v>
      </c>
      <c r="Q124" s="32" t="s">
        <v>75</v>
      </c>
      <c r="R124" s="32" t="s">
        <v>67</v>
      </c>
      <c r="S124" s="32" t="s">
        <v>57</v>
      </c>
      <c r="T124" s="32" t="s">
        <v>41</v>
      </c>
      <c r="U124" s="38">
        <v>1</v>
      </c>
      <c r="V124" s="9"/>
    </row>
    <row r="125" spans="1:22" x14ac:dyDescent="0.35">
      <c r="A125" s="18" t="s">
        <v>218</v>
      </c>
      <c r="B125" s="8">
        <v>45176</v>
      </c>
      <c r="C125" s="23" t="s">
        <v>33</v>
      </c>
      <c r="D125" s="23" t="s">
        <v>79</v>
      </c>
      <c r="E125" s="23" t="s">
        <v>72</v>
      </c>
      <c r="F125" s="28">
        <v>2023</v>
      </c>
      <c r="G125" s="23" t="s">
        <v>61</v>
      </c>
      <c r="H125" s="23" t="s">
        <v>119</v>
      </c>
      <c r="I125" s="23" t="s">
        <v>63</v>
      </c>
      <c r="J125" s="46">
        <v>16000</v>
      </c>
      <c r="K125" s="4">
        <v>7</v>
      </c>
      <c r="L125" s="5">
        <v>10</v>
      </c>
      <c r="M125" s="46">
        <v>100800</v>
      </c>
      <c r="N125" s="46">
        <v>56788</v>
      </c>
      <c r="O125" s="46">
        <v>44012</v>
      </c>
      <c r="P125" s="6">
        <v>43.66</v>
      </c>
      <c r="Q125" s="33" t="s">
        <v>81</v>
      </c>
      <c r="R125" s="33" t="s">
        <v>45</v>
      </c>
      <c r="S125" s="33" t="s">
        <v>68</v>
      </c>
      <c r="T125" s="33" t="s">
        <v>31</v>
      </c>
      <c r="U125" s="39">
        <v>1</v>
      </c>
      <c r="V125" s="9"/>
    </row>
    <row r="126" spans="1:22" x14ac:dyDescent="0.35">
      <c r="A126" s="17" t="s">
        <v>219</v>
      </c>
      <c r="B126" s="7">
        <v>45449</v>
      </c>
      <c r="C126" s="22" t="s">
        <v>33</v>
      </c>
      <c r="D126" s="22" t="s">
        <v>87</v>
      </c>
      <c r="E126" s="22" t="s">
        <v>35</v>
      </c>
      <c r="F126" s="27">
        <v>2024</v>
      </c>
      <c r="G126" s="22" t="s">
        <v>36</v>
      </c>
      <c r="H126" s="22" t="s">
        <v>101</v>
      </c>
      <c r="I126" s="22" t="s">
        <v>27</v>
      </c>
      <c r="J126" s="45">
        <v>9000</v>
      </c>
      <c r="K126" s="1">
        <v>9</v>
      </c>
      <c r="L126" s="2">
        <v>0</v>
      </c>
      <c r="M126" s="45">
        <v>81000</v>
      </c>
      <c r="N126" s="45">
        <v>57025</v>
      </c>
      <c r="O126" s="45">
        <v>23975</v>
      </c>
      <c r="P126" s="3">
        <v>29.6</v>
      </c>
      <c r="Q126" s="32" t="s">
        <v>81</v>
      </c>
      <c r="R126" s="32" t="s">
        <v>45</v>
      </c>
      <c r="S126" s="32" t="s">
        <v>68</v>
      </c>
      <c r="T126" s="32" t="s">
        <v>31</v>
      </c>
      <c r="U126" s="38">
        <v>2</v>
      </c>
      <c r="V126" s="9"/>
    </row>
    <row r="127" spans="1:22" x14ac:dyDescent="0.35">
      <c r="A127" s="18" t="s">
        <v>220</v>
      </c>
      <c r="B127" s="8">
        <v>45189</v>
      </c>
      <c r="C127" s="23" t="s">
        <v>22</v>
      </c>
      <c r="D127" s="23" t="s">
        <v>79</v>
      </c>
      <c r="E127" s="23" t="s">
        <v>72</v>
      </c>
      <c r="F127" s="28">
        <v>2023</v>
      </c>
      <c r="G127" s="23" t="s">
        <v>25</v>
      </c>
      <c r="H127" s="23" t="s">
        <v>37</v>
      </c>
      <c r="I127" s="23" t="s">
        <v>38</v>
      </c>
      <c r="J127" s="46">
        <v>10000</v>
      </c>
      <c r="K127" s="4">
        <v>10</v>
      </c>
      <c r="L127" s="5">
        <v>0</v>
      </c>
      <c r="M127" s="46">
        <v>100000</v>
      </c>
      <c r="N127" s="46">
        <v>67924</v>
      </c>
      <c r="O127" s="46">
        <v>32076</v>
      </c>
      <c r="P127" s="6">
        <v>32.08</v>
      </c>
      <c r="Q127" s="33" t="s">
        <v>28</v>
      </c>
      <c r="R127" s="33" t="s">
        <v>56</v>
      </c>
      <c r="S127" s="33" t="s">
        <v>40</v>
      </c>
      <c r="T127" s="33" t="s">
        <v>41</v>
      </c>
      <c r="U127" s="39">
        <v>5</v>
      </c>
      <c r="V127" s="9"/>
    </row>
    <row r="128" spans="1:22" x14ac:dyDescent="0.35">
      <c r="A128" s="17" t="s">
        <v>221</v>
      </c>
      <c r="B128" s="7">
        <v>45585</v>
      </c>
      <c r="C128" s="22" t="s">
        <v>70</v>
      </c>
      <c r="D128" s="22" t="s">
        <v>23</v>
      </c>
      <c r="E128" s="22" t="s">
        <v>24</v>
      </c>
      <c r="F128" s="27">
        <v>2024</v>
      </c>
      <c r="G128" s="22" t="s">
        <v>61</v>
      </c>
      <c r="H128" s="22" t="s">
        <v>54</v>
      </c>
      <c r="I128" s="22" t="s">
        <v>55</v>
      </c>
      <c r="J128" s="45">
        <v>18000</v>
      </c>
      <c r="K128" s="1">
        <v>6</v>
      </c>
      <c r="L128" s="2">
        <v>0</v>
      </c>
      <c r="M128" s="45">
        <v>108000</v>
      </c>
      <c r="N128" s="45">
        <v>67474</v>
      </c>
      <c r="O128" s="45">
        <v>40526</v>
      </c>
      <c r="P128" s="3">
        <v>37.520000000000003</v>
      </c>
      <c r="Q128" s="32" t="s">
        <v>51</v>
      </c>
      <c r="R128" s="32" t="s">
        <v>67</v>
      </c>
      <c r="S128" s="32" t="s">
        <v>57</v>
      </c>
      <c r="T128" s="32" t="s">
        <v>31</v>
      </c>
      <c r="U128" s="38">
        <v>3</v>
      </c>
      <c r="V128" s="9"/>
    </row>
    <row r="129" spans="1:22" x14ac:dyDescent="0.35">
      <c r="A129" s="18" t="s">
        <v>222</v>
      </c>
      <c r="B129" s="8">
        <v>45446</v>
      </c>
      <c r="C129" s="23" t="s">
        <v>90</v>
      </c>
      <c r="D129" s="23" t="s">
        <v>87</v>
      </c>
      <c r="E129" s="23" t="s">
        <v>35</v>
      </c>
      <c r="F129" s="28">
        <v>2024</v>
      </c>
      <c r="G129" s="23" t="s">
        <v>43</v>
      </c>
      <c r="H129" s="23" t="s">
        <v>84</v>
      </c>
      <c r="I129" s="23" t="s">
        <v>27</v>
      </c>
      <c r="J129" s="46">
        <v>8000</v>
      </c>
      <c r="K129" s="4">
        <v>8</v>
      </c>
      <c r="L129" s="5">
        <v>5</v>
      </c>
      <c r="M129" s="46">
        <v>60800</v>
      </c>
      <c r="N129" s="46">
        <v>33829</v>
      </c>
      <c r="O129" s="46">
        <v>26971</v>
      </c>
      <c r="P129" s="6">
        <v>44.36</v>
      </c>
      <c r="Q129" s="33" t="s">
        <v>81</v>
      </c>
      <c r="R129" s="33" t="s">
        <v>45</v>
      </c>
      <c r="S129" s="33" t="s">
        <v>30</v>
      </c>
      <c r="T129" s="33" t="s">
        <v>41</v>
      </c>
      <c r="U129" s="39">
        <v>4</v>
      </c>
      <c r="V129" s="9"/>
    </row>
    <row r="130" spans="1:22" x14ac:dyDescent="0.35">
      <c r="A130" s="17" t="s">
        <v>223</v>
      </c>
      <c r="B130" s="7">
        <v>45521</v>
      </c>
      <c r="C130" s="22" t="s">
        <v>53</v>
      </c>
      <c r="D130" s="22" t="s">
        <v>108</v>
      </c>
      <c r="E130" s="22" t="s">
        <v>72</v>
      </c>
      <c r="F130" s="27">
        <v>2024</v>
      </c>
      <c r="G130" s="22" t="s">
        <v>25</v>
      </c>
      <c r="H130" s="22" t="s">
        <v>80</v>
      </c>
      <c r="I130" s="22" t="s">
        <v>55</v>
      </c>
      <c r="J130" s="45">
        <v>25000</v>
      </c>
      <c r="K130" s="1">
        <v>8</v>
      </c>
      <c r="L130" s="2">
        <v>20</v>
      </c>
      <c r="M130" s="45">
        <v>160000</v>
      </c>
      <c r="N130" s="45">
        <v>103549</v>
      </c>
      <c r="O130" s="45">
        <v>56451</v>
      </c>
      <c r="P130" s="3">
        <v>35.28</v>
      </c>
      <c r="Q130" s="32" t="s">
        <v>39</v>
      </c>
      <c r="R130" s="32" t="s">
        <v>45</v>
      </c>
      <c r="S130" s="32" t="s">
        <v>85</v>
      </c>
      <c r="T130" s="32" t="s">
        <v>31</v>
      </c>
      <c r="U130" s="38">
        <v>1</v>
      </c>
      <c r="V130" s="9"/>
    </row>
    <row r="131" spans="1:22" x14ac:dyDescent="0.35">
      <c r="A131" s="18" t="s">
        <v>224</v>
      </c>
      <c r="B131" s="8">
        <v>45388</v>
      </c>
      <c r="C131" s="23" t="s">
        <v>53</v>
      </c>
      <c r="D131" s="23" t="s">
        <v>34</v>
      </c>
      <c r="E131" s="23" t="s">
        <v>35</v>
      </c>
      <c r="F131" s="28">
        <v>2024</v>
      </c>
      <c r="G131" s="23" t="s">
        <v>25</v>
      </c>
      <c r="H131" s="23" t="s">
        <v>84</v>
      </c>
      <c r="I131" s="23" t="s">
        <v>27</v>
      </c>
      <c r="J131" s="46">
        <v>8000</v>
      </c>
      <c r="K131" s="4">
        <v>2</v>
      </c>
      <c r="L131" s="5">
        <v>10</v>
      </c>
      <c r="M131" s="46">
        <v>14400</v>
      </c>
      <c r="N131" s="46">
        <v>9502</v>
      </c>
      <c r="O131" s="46">
        <v>4898</v>
      </c>
      <c r="P131" s="6">
        <v>34.01</v>
      </c>
      <c r="Q131" s="33" t="s">
        <v>28</v>
      </c>
      <c r="R131" s="33" t="s">
        <v>56</v>
      </c>
      <c r="S131" s="33" t="s">
        <v>40</v>
      </c>
      <c r="T131" s="33" t="s">
        <v>31</v>
      </c>
      <c r="U131" s="39">
        <v>3</v>
      </c>
      <c r="V131" s="9"/>
    </row>
    <row r="132" spans="1:22" x14ac:dyDescent="0.35">
      <c r="A132" s="17" t="s">
        <v>225</v>
      </c>
      <c r="B132" s="7">
        <v>45308</v>
      </c>
      <c r="C132" s="22" t="s">
        <v>22</v>
      </c>
      <c r="D132" s="22" t="s">
        <v>47</v>
      </c>
      <c r="E132" s="22" t="s">
        <v>48</v>
      </c>
      <c r="F132" s="27">
        <v>2024</v>
      </c>
      <c r="G132" s="22" t="s">
        <v>43</v>
      </c>
      <c r="H132" s="22" t="s">
        <v>59</v>
      </c>
      <c r="I132" s="22" t="s">
        <v>50</v>
      </c>
      <c r="J132" s="45">
        <v>22000</v>
      </c>
      <c r="K132" s="1">
        <v>7</v>
      </c>
      <c r="L132" s="2">
        <v>20</v>
      </c>
      <c r="M132" s="45">
        <v>123200</v>
      </c>
      <c r="N132" s="45">
        <v>74847</v>
      </c>
      <c r="O132" s="45">
        <v>48353</v>
      </c>
      <c r="P132" s="3">
        <v>39.25</v>
      </c>
      <c r="Q132" s="32" t="s">
        <v>75</v>
      </c>
      <c r="R132" s="32" t="s">
        <v>76</v>
      </c>
      <c r="S132" s="32" t="s">
        <v>57</v>
      </c>
      <c r="T132" s="32" t="s">
        <v>41</v>
      </c>
      <c r="U132" s="38">
        <v>1</v>
      </c>
      <c r="V132" s="9"/>
    </row>
    <row r="133" spans="1:22" x14ac:dyDescent="0.35">
      <c r="A133" s="18" t="s">
        <v>226</v>
      </c>
      <c r="B133" s="8">
        <v>45498</v>
      </c>
      <c r="C133" s="23" t="s">
        <v>33</v>
      </c>
      <c r="D133" s="23" t="s">
        <v>71</v>
      </c>
      <c r="E133" s="23" t="s">
        <v>72</v>
      </c>
      <c r="F133" s="28">
        <v>2024</v>
      </c>
      <c r="G133" s="23" t="s">
        <v>43</v>
      </c>
      <c r="H133" s="23" t="s">
        <v>62</v>
      </c>
      <c r="I133" s="23" t="s">
        <v>63</v>
      </c>
      <c r="J133" s="46">
        <v>5000</v>
      </c>
      <c r="K133" s="4">
        <v>5</v>
      </c>
      <c r="L133" s="5">
        <v>15</v>
      </c>
      <c r="M133" s="46">
        <v>21250</v>
      </c>
      <c r="N133" s="46">
        <v>14764</v>
      </c>
      <c r="O133" s="46">
        <v>6486</v>
      </c>
      <c r="P133" s="6">
        <v>30.52</v>
      </c>
      <c r="Q133" s="33" t="s">
        <v>75</v>
      </c>
      <c r="R133" s="33" t="s">
        <v>56</v>
      </c>
      <c r="S133" s="33" t="s">
        <v>57</v>
      </c>
      <c r="T133" s="33" t="s">
        <v>31</v>
      </c>
      <c r="U133" s="39">
        <v>3</v>
      </c>
      <c r="V133" s="9"/>
    </row>
    <row r="134" spans="1:22" x14ac:dyDescent="0.35">
      <c r="A134" s="17" t="s">
        <v>227</v>
      </c>
      <c r="B134" s="7">
        <v>45244</v>
      </c>
      <c r="C134" s="22" t="s">
        <v>83</v>
      </c>
      <c r="D134" s="22" t="s">
        <v>110</v>
      </c>
      <c r="E134" s="22" t="s">
        <v>24</v>
      </c>
      <c r="F134" s="27">
        <v>2023</v>
      </c>
      <c r="G134" s="22" t="s">
        <v>61</v>
      </c>
      <c r="H134" s="22" t="s">
        <v>131</v>
      </c>
      <c r="I134" s="22" t="s">
        <v>63</v>
      </c>
      <c r="J134" s="45">
        <v>10000</v>
      </c>
      <c r="K134" s="1">
        <v>10</v>
      </c>
      <c r="L134" s="2">
        <v>15</v>
      </c>
      <c r="M134" s="45">
        <v>85000</v>
      </c>
      <c r="N134" s="45">
        <v>60304</v>
      </c>
      <c r="O134" s="45">
        <v>24696</v>
      </c>
      <c r="P134" s="3">
        <v>29.05</v>
      </c>
      <c r="Q134" s="32" t="s">
        <v>81</v>
      </c>
      <c r="R134" s="32" t="s">
        <v>29</v>
      </c>
      <c r="S134" s="32" t="s">
        <v>40</v>
      </c>
      <c r="T134" s="32" t="s">
        <v>31</v>
      </c>
      <c r="U134" s="38">
        <v>5</v>
      </c>
      <c r="V134" s="9"/>
    </row>
    <row r="135" spans="1:22" x14ac:dyDescent="0.35">
      <c r="A135" s="18" t="s">
        <v>228</v>
      </c>
      <c r="B135" s="8">
        <v>45022</v>
      </c>
      <c r="C135" s="23" t="s">
        <v>33</v>
      </c>
      <c r="D135" s="23" t="s">
        <v>34</v>
      </c>
      <c r="E135" s="23" t="s">
        <v>35</v>
      </c>
      <c r="F135" s="28">
        <v>2023</v>
      </c>
      <c r="G135" s="23" t="s">
        <v>25</v>
      </c>
      <c r="H135" s="23" t="s">
        <v>119</v>
      </c>
      <c r="I135" s="23" t="s">
        <v>63</v>
      </c>
      <c r="J135" s="46">
        <v>16000</v>
      </c>
      <c r="K135" s="4">
        <v>6</v>
      </c>
      <c r="L135" s="5">
        <v>0</v>
      </c>
      <c r="M135" s="46">
        <v>96000</v>
      </c>
      <c r="N135" s="46">
        <v>58718</v>
      </c>
      <c r="O135" s="46">
        <v>37282</v>
      </c>
      <c r="P135" s="6">
        <v>38.840000000000003</v>
      </c>
      <c r="Q135" s="33" t="s">
        <v>39</v>
      </c>
      <c r="R135" s="33" t="s">
        <v>56</v>
      </c>
      <c r="S135" s="33" t="s">
        <v>57</v>
      </c>
      <c r="T135" s="33" t="s">
        <v>31</v>
      </c>
      <c r="U135" s="39">
        <v>2</v>
      </c>
      <c r="V135" s="9"/>
    </row>
    <row r="136" spans="1:22" x14ac:dyDescent="0.35">
      <c r="A136" s="17" t="s">
        <v>229</v>
      </c>
      <c r="B136" s="7">
        <v>45067</v>
      </c>
      <c r="C136" s="22" t="s">
        <v>70</v>
      </c>
      <c r="D136" s="22" t="s">
        <v>116</v>
      </c>
      <c r="E136" s="22" t="s">
        <v>35</v>
      </c>
      <c r="F136" s="27">
        <v>2023</v>
      </c>
      <c r="G136" s="22" t="s">
        <v>43</v>
      </c>
      <c r="H136" s="22" t="s">
        <v>106</v>
      </c>
      <c r="I136" s="22" t="s">
        <v>38</v>
      </c>
      <c r="J136" s="45">
        <v>12000</v>
      </c>
      <c r="K136" s="1">
        <v>5</v>
      </c>
      <c r="L136" s="2">
        <v>20</v>
      </c>
      <c r="M136" s="45">
        <v>48000</v>
      </c>
      <c r="N136" s="45">
        <v>32831</v>
      </c>
      <c r="O136" s="45">
        <v>15169</v>
      </c>
      <c r="P136" s="3">
        <v>31.6</v>
      </c>
      <c r="Q136" s="32" t="s">
        <v>75</v>
      </c>
      <c r="R136" s="32" t="s">
        <v>29</v>
      </c>
      <c r="S136" s="32" t="s">
        <v>85</v>
      </c>
      <c r="T136" s="32" t="s">
        <v>41</v>
      </c>
      <c r="U136" s="38">
        <v>5</v>
      </c>
      <c r="V136" s="9"/>
    </row>
    <row r="137" spans="1:22" x14ac:dyDescent="0.35">
      <c r="A137" s="18" t="s">
        <v>230</v>
      </c>
      <c r="B137" s="8">
        <v>45061</v>
      </c>
      <c r="C137" s="23" t="s">
        <v>90</v>
      </c>
      <c r="D137" s="23" t="s">
        <v>116</v>
      </c>
      <c r="E137" s="23" t="s">
        <v>35</v>
      </c>
      <c r="F137" s="28">
        <v>2023</v>
      </c>
      <c r="G137" s="23" t="s">
        <v>43</v>
      </c>
      <c r="H137" s="23" t="s">
        <v>126</v>
      </c>
      <c r="I137" s="23" t="s">
        <v>55</v>
      </c>
      <c r="J137" s="46">
        <v>12000</v>
      </c>
      <c r="K137" s="4">
        <v>3</v>
      </c>
      <c r="L137" s="5">
        <v>0</v>
      </c>
      <c r="M137" s="46">
        <v>36000</v>
      </c>
      <c r="N137" s="46">
        <v>20907</v>
      </c>
      <c r="O137" s="46">
        <v>15093</v>
      </c>
      <c r="P137" s="6">
        <v>41.93</v>
      </c>
      <c r="Q137" s="33" t="s">
        <v>75</v>
      </c>
      <c r="R137" s="33" t="s">
        <v>56</v>
      </c>
      <c r="S137" s="33" t="s">
        <v>40</v>
      </c>
      <c r="T137" s="33" t="s">
        <v>41</v>
      </c>
      <c r="U137" s="39">
        <v>3</v>
      </c>
      <c r="V137" s="9"/>
    </row>
    <row r="138" spans="1:22" x14ac:dyDescent="0.35">
      <c r="A138" s="17" t="s">
        <v>231</v>
      </c>
      <c r="B138" s="7">
        <v>45619</v>
      </c>
      <c r="C138" s="22" t="s">
        <v>53</v>
      </c>
      <c r="D138" s="22" t="s">
        <v>110</v>
      </c>
      <c r="E138" s="22" t="s">
        <v>24</v>
      </c>
      <c r="F138" s="27">
        <v>2024</v>
      </c>
      <c r="G138" s="22" t="s">
        <v>36</v>
      </c>
      <c r="H138" s="22" t="s">
        <v>113</v>
      </c>
      <c r="I138" s="22" t="s">
        <v>38</v>
      </c>
      <c r="J138" s="45">
        <v>3500</v>
      </c>
      <c r="K138" s="1">
        <v>10</v>
      </c>
      <c r="L138" s="2">
        <v>0</v>
      </c>
      <c r="M138" s="45">
        <v>35000</v>
      </c>
      <c r="N138" s="45">
        <v>23727</v>
      </c>
      <c r="O138" s="45">
        <v>11273</v>
      </c>
      <c r="P138" s="3">
        <v>32.21</v>
      </c>
      <c r="Q138" s="32" t="s">
        <v>51</v>
      </c>
      <c r="R138" s="32" t="s">
        <v>56</v>
      </c>
      <c r="S138" s="32" t="s">
        <v>85</v>
      </c>
      <c r="T138" s="32" t="s">
        <v>41</v>
      </c>
      <c r="U138" s="38">
        <v>4</v>
      </c>
      <c r="V138" s="9"/>
    </row>
    <row r="139" spans="1:22" x14ac:dyDescent="0.35">
      <c r="A139" s="18" t="s">
        <v>232</v>
      </c>
      <c r="B139" s="8">
        <v>45125</v>
      </c>
      <c r="C139" s="23" t="s">
        <v>83</v>
      </c>
      <c r="D139" s="23" t="s">
        <v>71</v>
      </c>
      <c r="E139" s="23" t="s">
        <v>72</v>
      </c>
      <c r="F139" s="28">
        <v>2023</v>
      </c>
      <c r="G139" s="23" t="s">
        <v>25</v>
      </c>
      <c r="H139" s="23" t="s">
        <v>49</v>
      </c>
      <c r="I139" s="23" t="s">
        <v>50</v>
      </c>
      <c r="J139" s="46">
        <v>18000</v>
      </c>
      <c r="K139" s="4">
        <v>8</v>
      </c>
      <c r="L139" s="5">
        <v>5</v>
      </c>
      <c r="M139" s="46">
        <v>136800</v>
      </c>
      <c r="N139" s="46">
        <v>93134</v>
      </c>
      <c r="O139" s="46">
        <v>43666</v>
      </c>
      <c r="P139" s="6">
        <v>31.92</v>
      </c>
      <c r="Q139" s="33" t="s">
        <v>51</v>
      </c>
      <c r="R139" s="33" t="s">
        <v>29</v>
      </c>
      <c r="S139" s="33" t="s">
        <v>85</v>
      </c>
      <c r="T139" s="33" t="s">
        <v>31</v>
      </c>
      <c r="U139" s="39">
        <v>2</v>
      </c>
      <c r="V139" s="9"/>
    </row>
    <row r="140" spans="1:22" x14ac:dyDescent="0.35">
      <c r="A140" s="17" t="s">
        <v>233</v>
      </c>
      <c r="B140" s="7">
        <v>45546</v>
      </c>
      <c r="C140" s="22" t="s">
        <v>22</v>
      </c>
      <c r="D140" s="22" t="s">
        <v>79</v>
      </c>
      <c r="E140" s="22" t="s">
        <v>72</v>
      </c>
      <c r="F140" s="27">
        <v>2024</v>
      </c>
      <c r="G140" s="22" t="s">
        <v>43</v>
      </c>
      <c r="H140" s="22" t="s">
        <v>123</v>
      </c>
      <c r="I140" s="22" t="s">
        <v>38</v>
      </c>
      <c r="J140" s="45">
        <v>14000</v>
      </c>
      <c r="K140" s="1">
        <v>1</v>
      </c>
      <c r="L140" s="2">
        <v>15</v>
      </c>
      <c r="M140" s="45">
        <v>11900</v>
      </c>
      <c r="N140" s="45">
        <v>7517</v>
      </c>
      <c r="O140" s="45">
        <v>4383</v>
      </c>
      <c r="P140" s="3">
        <v>36.83</v>
      </c>
      <c r="Q140" s="32" t="s">
        <v>81</v>
      </c>
      <c r="R140" s="32" t="s">
        <v>29</v>
      </c>
      <c r="S140" s="32" t="s">
        <v>30</v>
      </c>
      <c r="T140" s="32" t="s">
        <v>41</v>
      </c>
      <c r="U140" s="38">
        <v>1</v>
      </c>
      <c r="V140" s="9"/>
    </row>
    <row r="141" spans="1:22" x14ac:dyDescent="0.35">
      <c r="A141" s="18" t="s">
        <v>234</v>
      </c>
      <c r="B141" s="8">
        <v>45091</v>
      </c>
      <c r="C141" s="23" t="s">
        <v>22</v>
      </c>
      <c r="D141" s="23" t="s">
        <v>87</v>
      </c>
      <c r="E141" s="23" t="s">
        <v>35</v>
      </c>
      <c r="F141" s="28">
        <v>2023</v>
      </c>
      <c r="G141" s="23" t="s">
        <v>61</v>
      </c>
      <c r="H141" s="23" t="s">
        <v>59</v>
      </c>
      <c r="I141" s="23" t="s">
        <v>50</v>
      </c>
      <c r="J141" s="46">
        <v>22000</v>
      </c>
      <c r="K141" s="4">
        <v>9</v>
      </c>
      <c r="L141" s="5">
        <v>0</v>
      </c>
      <c r="M141" s="46">
        <v>198000</v>
      </c>
      <c r="N141" s="46">
        <v>136873</v>
      </c>
      <c r="O141" s="46">
        <v>61127</v>
      </c>
      <c r="P141" s="6">
        <v>30.87</v>
      </c>
      <c r="Q141" s="33" t="s">
        <v>28</v>
      </c>
      <c r="R141" s="33" t="s">
        <v>56</v>
      </c>
      <c r="S141" s="33" t="s">
        <v>40</v>
      </c>
      <c r="T141" s="33" t="s">
        <v>31</v>
      </c>
      <c r="U141" s="39">
        <v>4</v>
      </c>
      <c r="V141" s="9"/>
    </row>
    <row r="142" spans="1:22" x14ac:dyDescent="0.35">
      <c r="A142" s="17" t="s">
        <v>235</v>
      </c>
      <c r="B142" s="7">
        <v>44981</v>
      </c>
      <c r="C142" s="22" t="s">
        <v>78</v>
      </c>
      <c r="D142" s="22" t="s">
        <v>74</v>
      </c>
      <c r="E142" s="22" t="s">
        <v>48</v>
      </c>
      <c r="F142" s="27">
        <v>2023</v>
      </c>
      <c r="G142" s="22" t="s">
        <v>43</v>
      </c>
      <c r="H142" s="22" t="s">
        <v>119</v>
      </c>
      <c r="I142" s="22" t="s">
        <v>63</v>
      </c>
      <c r="J142" s="45">
        <v>16000</v>
      </c>
      <c r="K142" s="1">
        <v>6</v>
      </c>
      <c r="L142" s="2">
        <v>0</v>
      </c>
      <c r="M142" s="45">
        <v>96000</v>
      </c>
      <c r="N142" s="45">
        <v>59102</v>
      </c>
      <c r="O142" s="45">
        <v>36898</v>
      </c>
      <c r="P142" s="3">
        <v>38.44</v>
      </c>
      <c r="Q142" s="32" t="s">
        <v>28</v>
      </c>
      <c r="R142" s="32" t="s">
        <v>45</v>
      </c>
      <c r="S142" s="32" t="s">
        <v>68</v>
      </c>
      <c r="T142" s="32" t="s">
        <v>41</v>
      </c>
      <c r="U142" s="38">
        <v>1</v>
      </c>
      <c r="V142" s="9"/>
    </row>
    <row r="143" spans="1:22" x14ac:dyDescent="0.35">
      <c r="A143" s="18" t="s">
        <v>236</v>
      </c>
      <c r="B143" s="8">
        <v>45592</v>
      </c>
      <c r="C143" s="23" t="s">
        <v>70</v>
      </c>
      <c r="D143" s="23" t="s">
        <v>23</v>
      </c>
      <c r="E143" s="23" t="s">
        <v>24</v>
      </c>
      <c r="F143" s="28">
        <v>2024</v>
      </c>
      <c r="G143" s="23" t="s">
        <v>25</v>
      </c>
      <c r="H143" s="23" t="s">
        <v>104</v>
      </c>
      <c r="I143" s="23" t="s">
        <v>50</v>
      </c>
      <c r="J143" s="46">
        <v>15000</v>
      </c>
      <c r="K143" s="4">
        <v>3</v>
      </c>
      <c r="L143" s="5">
        <v>0</v>
      </c>
      <c r="M143" s="46">
        <v>45000</v>
      </c>
      <c r="N143" s="46">
        <v>26945</v>
      </c>
      <c r="O143" s="46">
        <v>18055</v>
      </c>
      <c r="P143" s="6">
        <v>40.119999999999997</v>
      </c>
      <c r="Q143" s="33" t="s">
        <v>51</v>
      </c>
      <c r="R143" s="33" t="s">
        <v>56</v>
      </c>
      <c r="S143" s="33" t="s">
        <v>40</v>
      </c>
      <c r="T143" s="33" t="s">
        <v>31</v>
      </c>
      <c r="U143" s="39">
        <v>1</v>
      </c>
      <c r="V143" s="9"/>
    </row>
    <row r="144" spans="1:22" x14ac:dyDescent="0.35">
      <c r="A144" s="17" t="s">
        <v>237</v>
      </c>
      <c r="B144" s="7">
        <v>44946</v>
      </c>
      <c r="C144" s="22" t="s">
        <v>78</v>
      </c>
      <c r="D144" s="22" t="s">
        <v>47</v>
      </c>
      <c r="E144" s="22" t="s">
        <v>48</v>
      </c>
      <c r="F144" s="27">
        <v>2023</v>
      </c>
      <c r="G144" s="22" t="s">
        <v>43</v>
      </c>
      <c r="H144" s="22" t="s">
        <v>104</v>
      </c>
      <c r="I144" s="22" t="s">
        <v>50</v>
      </c>
      <c r="J144" s="45">
        <v>15000</v>
      </c>
      <c r="K144" s="1">
        <v>3</v>
      </c>
      <c r="L144" s="2">
        <v>10</v>
      </c>
      <c r="M144" s="45">
        <v>40500</v>
      </c>
      <c r="N144" s="45">
        <v>28748</v>
      </c>
      <c r="O144" s="45">
        <v>11752</v>
      </c>
      <c r="P144" s="3">
        <v>29.02</v>
      </c>
      <c r="Q144" s="32" t="s">
        <v>75</v>
      </c>
      <c r="R144" s="32" t="s">
        <v>29</v>
      </c>
      <c r="S144" s="32" t="s">
        <v>40</v>
      </c>
      <c r="T144" s="32" t="s">
        <v>41</v>
      </c>
      <c r="U144" s="38">
        <v>2</v>
      </c>
      <c r="V144" s="9"/>
    </row>
    <row r="145" spans="1:22" x14ac:dyDescent="0.35">
      <c r="A145" s="18" t="s">
        <v>238</v>
      </c>
      <c r="B145" s="8">
        <v>45235</v>
      </c>
      <c r="C145" s="23" t="s">
        <v>70</v>
      </c>
      <c r="D145" s="23" t="s">
        <v>110</v>
      </c>
      <c r="E145" s="23" t="s">
        <v>24</v>
      </c>
      <c r="F145" s="28">
        <v>2023</v>
      </c>
      <c r="G145" s="23" t="s">
        <v>43</v>
      </c>
      <c r="H145" s="23" t="s">
        <v>26</v>
      </c>
      <c r="I145" s="23" t="s">
        <v>27</v>
      </c>
      <c r="J145" s="46">
        <v>5000</v>
      </c>
      <c r="K145" s="4">
        <v>4</v>
      </c>
      <c r="L145" s="5">
        <v>5</v>
      </c>
      <c r="M145" s="46">
        <v>19000</v>
      </c>
      <c r="N145" s="46">
        <v>12514</v>
      </c>
      <c r="O145" s="46">
        <v>6486</v>
      </c>
      <c r="P145" s="6">
        <v>34.14</v>
      </c>
      <c r="Q145" s="33" t="s">
        <v>75</v>
      </c>
      <c r="R145" s="33" t="s">
        <v>67</v>
      </c>
      <c r="S145" s="33" t="s">
        <v>30</v>
      </c>
      <c r="T145" s="33" t="s">
        <v>41</v>
      </c>
      <c r="U145" s="39">
        <v>5</v>
      </c>
      <c r="V145" s="9"/>
    </row>
    <row r="146" spans="1:22" x14ac:dyDescent="0.35">
      <c r="A146" s="17" t="s">
        <v>239</v>
      </c>
      <c r="B146" s="7">
        <v>45475</v>
      </c>
      <c r="C146" s="22" t="s">
        <v>83</v>
      </c>
      <c r="D146" s="22" t="s">
        <v>71</v>
      </c>
      <c r="E146" s="22" t="s">
        <v>72</v>
      </c>
      <c r="F146" s="27">
        <v>2024</v>
      </c>
      <c r="G146" s="22" t="s">
        <v>61</v>
      </c>
      <c r="H146" s="22" t="s">
        <v>101</v>
      </c>
      <c r="I146" s="22" t="s">
        <v>27</v>
      </c>
      <c r="J146" s="45">
        <v>9000</v>
      </c>
      <c r="K146" s="1">
        <v>10</v>
      </c>
      <c r="L146" s="2">
        <v>0</v>
      </c>
      <c r="M146" s="45">
        <v>90000</v>
      </c>
      <c r="N146" s="45">
        <v>60494</v>
      </c>
      <c r="O146" s="45">
        <v>29506</v>
      </c>
      <c r="P146" s="3">
        <v>32.78</v>
      </c>
      <c r="Q146" s="32" t="s">
        <v>81</v>
      </c>
      <c r="R146" s="32" t="s">
        <v>67</v>
      </c>
      <c r="S146" s="32" t="s">
        <v>30</v>
      </c>
      <c r="T146" s="32" t="s">
        <v>31</v>
      </c>
      <c r="U146" s="38">
        <v>5</v>
      </c>
      <c r="V146" s="9"/>
    </row>
    <row r="147" spans="1:22" x14ac:dyDescent="0.35">
      <c r="A147" s="18" t="s">
        <v>240</v>
      </c>
      <c r="B147" s="8">
        <v>45353</v>
      </c>
      <c r="C147" s="23" t="s">
        <v>53</v>
      </c>
      <c r="D147" s="23" t="s">
        <v>65</v>
      </c>
      <c r="E147" s="23" t="s">
        <v>48</v>
      </c>
      <c r="F147" s="28">
        <v>2024</v>
      </c>
      <c r="G147" s="23" t="s">
        <v>43</v>
      </c>
      <c r="H147" s="23" t="s">
        <v>106</v>
      </c>
      <c r="I147" s="23" t="s">
        <v>38</v>
      </c>
      <c r="J147" s="46">
        <v>12000</v>
      </c>
      <c r="K147" s="4">
        <v>9</v>
      </c>
      <c r="L147" s="5">
        <v>0</v>
      </c>
      <c r="M147" s="46">
        <v>108000</v>
      </c>
      <c r="N147" s="46">
        <v>60643</v>
      </c>
      <c r="O147" s="46">
        <v>47357</v>
      </c>
      <c r="P147" s="6">
        <v>43.85</v>
      </c>
      <c r="Q147" s="33" t="s">
        <v>75</v>
      </c>
      <c r="R147" s="33" t="s">
        <v>29</v>
      </c>
      <c r="S147" s="33" t="s">
        <v>85</v>
      </c>
      <c r="T147" s="33" t="s">
        <v>41</v>
      </c>
      <c r="U147" s="39">
        <v>4</v>
      </c>
      <c r="V147" s="9"/>
    </row>
    <row r="148" spans="1:22" x14ac:dyDescent="0.35">
      <c r="A148" s="17" t="s">
        <v>241</v>
      </c>
      <c r="B148" s="7">
        <v>44971</v>
      </c>
      <c r="C148" s="22" t="s">
        <v>83</v>
      </c>
      <c r="D148" s="22" t="s">
        <v>74</v>
      </c>
      <c r="E148" s="22" t="s">
        <v>48</v>
      </c>
      <c r="F148" s="27">
        <v>2023</v>
      </c>
      <c r="G148" s="22" t="s">
        <v>43</v>
      </c>
      <c r="H148" s="22" t="s">
        <v>62</v>
      </c>
      <c r="I148" s="22" t="s">
        <v>63</v>
      </c>
      <c r="J148" s="45">
        <v>5000</v>
      </c>
      <c r="K148" s="1">
        <v>5</v>
      </c>
      <c r="L148" s="2">
        <v>15</v>
      </c>
      <c r="M148" s="45">
        <v>21250</v>
      </c>
      <c r="N148" s="45">
        <v>11746</v>
      </c>
      <c r="O148" s="45">
        <v>9504</v>
      </c>
      <c r="P148" s="3">
        <v>44.72</v>
      </c>
      <c r="Q148" s="32" t="s">
        <v>28</v>
      </c>
      <c r="R148" s="32" t="s">
        <v>45</v>
      </c>
      <c r="S148" s="32" t="s">
        <v>68</v>
      </c>
      <c r="T148" s="32" t="s">
        <v>41</v>
      </c>
      <c r="U148" s="38">
        <v>2</v>
      </c>
      <c r="V148" s="9"/>
    </row>
    <row r="149" spans="1:22" x14ac:dyDescent="0.35">
      <c r="A149" s="18" t="s">
        <v>242</v>
      </c>
      <c r="B149" s="8">
        <v>44972</v>
      </c>
      <c r="C149" s="23" t="s">
        <v>22</v>
      </c>
      <c r="D149" s="23" t="s">
        <v>74</v>
      </c>
      <c r="E149" s="23" t="s">
        <v>48</v>
      </c>
      <c r="F149" s="28">
        <v>2023</v>
      </c>
      <c r="G149" s="23" t="s">
        <v>36</v>
      </c>
      <c r="H149" s="23" t="s">
        <v>49</v>
      </c>
      <c r="I149" s="23" t="s">
        <v>50</v>
      </c>
      <c r="J149" s="46">
        <v>18000</v>
      </c>
      <c r="K149" s="4">
        <v>6</v>
      </c>
      <c r="L149" s="5">
        <v>20</v>
      </c>
      <c r="M149" s="46">
        <v>86400</v>
      </c>
      <c r="N149" s="46">
        <v>56961</v>
      </c>
      <c r="O149" s="46">
        <v>29439</v>
      </c>
      <c r="P149" s="6">
        <v>34.07</v>
      </c>
      <c r="Q149" s="33" t="s">
        <v>51</v>
      </c>
      <c r="R149" s="33" t="s">
        <v>67</v>
      </c>
      <c r="S149" s="33" t="s">
        <v>68</v>
      </c>
      <c r="T149" s="33" t="s">
        <v>31</v>
      </c>
      <c r="U149" s="39">
        <v>4</v>
      </c>
      <c r="V149" s="9"/>
    </row>
    <row r="150" spans="1:22" x14ac:dyDescent="0.35">
      <c r="A150" s="17" t="s">
        <v>243</v>
      </c>
      <c r="B150" s="7">
        <v>44964</v>
      </c>
      <c r="C150" s="22" t="s">
        <v>83</v>
      </c>
      <c r="D150" s="22" t="s">
        <v>74</v>
      </c>
      <c r="E150" s="22" t="s">
        <v>48</v>
      </c>
      <c r="F150" s="27">
        <v>2023</v>
      </c>
      <c r="G150" s="22" t="s">
        <v>25</v>
      </c>
      <c r="H150" s="22" t="s">
        <v>104</v>
      </c>
      <c r="I150" s="22" t="s">
        <v>50</v>
      </c>
      <c r="J150" s="45">
        <v>15000</v>
      </c>
      <c r="K150" s="1">
        <v>1</v>
      </c>
      <c r="L150" s="2">
        <v>20</v>
      </c>
      <c r="M150" s="45">
        <v>12000</v>
      </c>
      <c r="N150" s="45">
        <v>7007</v>
      </c>
      <c r="O150" s="45">
        <v>4993</v>
      </c>
      <c r="P150" s="3">
        <v>41.61</v>
      </c>
      <c r="Q150" s="32" t="s">
        <v>28</v>
      </c>
      <c r="R150" s="32" t="s">
        <v>45</v>
      </c>
      <c r="S150" s="32" t="s">
        <v>57</v>
      </c>
      <c r="T150" s="32" t="s">
        <v>41</v>
      </c>
      <c r="U150" s="38">
        <v>3</v>
      </c>
      <c r="V150" s="9"/>
    </row>
    <row r="151" spans="1:22" x14ac:dyDescent="0.35">
      <c r="A151" s="18" t="s">
        <v>244</v>
      </c>
      <c r="B151" s="8">
        <v>44964</v>
      </c>
      <c r="C151" s="23" t="s">
        <v>83</v>
      </c>
      <c r="D151" s="23" t="s">
        <v>74</v>
      </c>
      <c r="E151" s="23" t="s">
        <v>48</v>
      </c>
      <c r="F151" s="28">
        <v>2023</v>
      </c>
      <c r="G151" s="23" t="s">
        <v>61</v>
      </c>
      <c r="H151" s="23" t="s">
        <v>123</v>
      </c>
      <c r="I151" s="23" t="s">
        <v>38</v>
      </c>
      <c r="J151" s="46">
        <v>14000</v>
      </c>
      <c r="K151" s="4">
        <v>6</v>
      </c>
      <c r="L151" s="5">
        <v>20</v>
      </c>
      <c r="M151" s="46">
        <v>67200</v>
      </c>
      <c r="N151" s="46">
        <v>45880</v>
      </c>
      <c r="O151" s="46">
        <v>21320</v>
      </c>
      <c r="P151" s="6">
        <v>31.73</v>
      </c>
      <c r="Q151" s="33" t="s">
        <v>81</v>
      </c>
      <c r="R151" s="33" t="s">
        <v>45</v>
      </c>
      <c r="S151" s="33" t="s">
        <v>30</v>
      </c>
      <c r="T151" s="33" t="s">
        <v>41</v>
      </c>
      <c r="U151" s="39">
        <v>4</v>
      </c>
      <c r="V151" s="9"/>
    </row>
    <row r="152" spans="1:22" x14ac:dyDescent="0.35">
      <c r="A152" s="17" t="s">
        <v>245</v>
      </c>
      <c r="B152" s="7">
        <v>45377</v>
      </c>
      <c r="C152" s="22" t="s">
        <v>83</v>
      </c>
      <c r="D152" s="22" t="s">
        <v>65</v>
      </c>
      <c r="E152" s="22" t="s">
        <v>48</v>
      </c>
      <c r="F152" s="27">
        <v>2024</v>
      </c>
      <c r="G152" s="22" t="s">
        <v>43</v>
      </c>
      <c r="H152" s="22" t="s">
        <v>62</v>
      </c>
      <c r="I152" s="22" t="s">
        <v>63</v>
      </c>
      <c r="J152" s="45">
        <v>5000</v>
      </c>
      <c r="K152" s="1">
        <v>3</v>
      </c>
      <c r="L152" s="2">
        <v>5</v>
      </c>
      <c r="M152" s="45">
        <v>14250</v>
      </c>
      <c r="N152" s="45">
        <v>9514</v>
      </c>
      <c r="O152" s="45">
        <v>4736</v>
      </c>
      <c r="P152" s="3">
        <v>33.24</v>
      </c>
      <c r="Q152" s="32" t="s">
        <v>81</v>
      </c>
      <c r="R152" s="32" t="s">
        <v>29</v>
      </c>
      <c r="S152" s="32" t="s">
        <v>57</v>
      </c>
      <c r="T152" s="32" t="s">
        <v>41</v>
      </c>
      <c r="U152" s="38">
        <v>1</v>
      </c>
      <c r="V152" s="9"/>
    </row>
    <row r="153" spans="1:22" x14ac:dyDescent="0.35">
      <c r="A153" s="18" t="s">
        <v>246</v>
      </c>
      <c r="B153" s="8">
        <v>45367</v>
      </c>
      <c r="C153" s="23" t="s">
        <v>53</v>
      </c>
      <c r="D153" s="23" t="s">
        <v>65</v>
      </c>
      <c r="E153" s="23" t="s">
        <v>48</v>
      </c>
      <c r="F153" s="28">
        <v>2024</v>
      </c>
      <c r="G153" s="23" t="s">
        <v>61</v>
      </c>
      <c r="H153" s="23" t="s">
        <v>186</v>
      </c>
      <c r="I153" s="23" t="s">
        <v>55</v>
      </c>
      <c r="J153" s="46">
        <v>20000</v>
      </c>
      <c r="K153" s="4">
        <v>9</v>
      </c>
      <c r="L153" s="5">
        <v>0</v>
      </c>
      <c r="M153" s="46">
        <v>180000</v>
      </c>
      <c r="N153" s="46">
        <v>108829</v>
      </c>
      <c r="O153" s="46">
        <v>71171</v>
      </c>
      <c r="P153" s="6">
        <v>39.54</v>
      </c>
      <c r="Q153" s="33" t="s">
        <v>28</v>
      </c>
      <c r="R153" s="33" t="s">
        <v>45</v>
      </c>
      <c r="S153" s="33" t="s">
        <v>57</v>
      </c>
      <c r="T153" s="33" t="s">
        <v>41</v>
      </c>
      <c r="U153" s="39">
        <v>5</v>
      </c>
      <c r="V153" s="9"/>
    </row>
    <row r="154" spans="1:22" x14ac:dyDescent="0.35">
      <c r="A154" s="17" t="s">
        <v>247</v>
      </c>
      <c r="B154" s="7">
        <v>45363</v>
      </c>
      <c r="C154" s="22" t="s">
        <v>83</v>
      </c>
      <c r="D154" s="22" t="s">
        <v>65</v>
      </c>
      <c r="E154" s="22" t="s">
        <v>48</v>
      </c>
      <c r="F154" s="27">
        <v>2024</v>
      </c>
      <c r="G154" s="22" t="s">
        <v>61</v>
      </c>
      <c r="H154" s="22" t="s">
        <v>113</v>
      </c>
      <c r="I154" s="22" t="s">
        <v>38</v>
      </c>
      <c r="J154" s="45">
        <v>3500</v>
      </c>
      <c r="K154" s="1">
        <v>6</v>
      </c>
      <c r="L154" s="2">
        <v>5</v>
      </c>
      <c r="M154" s="45">
        <v>19950</v>
      </c>
      <c r="N154" s="45">
        <v>11116</v>
      </c>
      <c r="O154" s="45">
        <v>8834</v>
      </c>
      <c r="P154" s="3">
        <v>44.28</v>
      </c>
      <c r="Q154" s="32" t="s">
        <v>81</v>
      </c>
      <c r="R154" s="32" t="s">
        <v>29</v>
      </c>
      <c r="S154" s="32" t="s">
        <v>40</v>
      </c>
      <c r="T154" s="32" t="s">
        <v>31</v>
      </c>
      <c r="U154" s="38">
        <v>1</v>
      </c>
      <c r="V154" s="9"/>
    </row>
    <row r="155" spans="1:22" x14ac:dyDescent="0.35">
      <c r="A155" s="18" t="s">
        <v>248</v>
      </c>
      <c r="B155" s="8">
        <v>45614</v>
      </c>
      <c r="C155" s="23" t="s">
        <v>90</v>
      </c>
      <c r="D155" s="23" t="s">
        <v>110</v>
      </c>
      <c r="E155" s="23" t="s">
        <v>24</v>
      </c>
      <c r="F155" s="28">
        <v>2024</v>
      </c>
      <c r="G155" s="23" t="s">
        <v>25</v>
      </c>
      <c r="H155" s="23" t="s">
        <v>62</v>
      </c>
      <c r="I155" s="23" t="s">
        <v>63</v>
      </c>
      <c r="J155" s="46">
        <v>5000</v>
      </c>
      <c r="K155" s="4">
        <v>9</v>
      </c>
      <c r="L155" s="5">
        <v>20</v>
      </c>
      <c r="M155" s="46">
        <v>36000</v>
      </c>
      <c r="N155" s="46">
        <v>24389</v>
      </c>
      <c r="O155" s="46">
        <v>11611</v>
      </c>
      <c r="P155" s="6">
        <v>32.25</v>
      </c>
      <c r="Q155" s="33" t="s">
        <v>39</v>
      </c>
      <c r="R155" s="33" t="s">
        <v>76</v>
      </c>
      <c r="S155" s="33" t="s">
        <v>68</v>
      </c>
      <c r="T155" s="33" t="s">
        <v>31</v>
      </c>
      <c r="U155" s="39">
        <v>2</v>
      </c>
      <c r="V155" s="9"/>
    </row>
    <row r="156" spans="1:22" x14ac:dyDescent="0.35">
      <c r="A156" s="17" t="s">
        <v>249</v>
      </c>
      <c r="B156" s="7">
        <v>44995</v>
      </c>
      <c r="C156" s="22" t="s">
        <v>78</v>
      </c>
      <c r="D156" s="22" t="s">
        <v>65</v>
      </c>
      <c r="E156" s="22" t="s">
        <v>48</v>
      </c>
      <c r="F156" s="27">
        <v>2023</v>
      </c>
      <c r="G156" s="22" t="s">
        <v>25</v>
      </c>
      <c r="H156" s="22" t="s">
        <v>123</v>
      </c>
      <c r="I156" s="22" t="s">
        <v>38</v>
      </c>
      <c r="J156" s="45">
        <v>14000</v>
      </c>
      <c r="K156" s="1">
        <v>6</v>
      </c>
      <c r="L156" s="2">
        <v>5</v>
      </c>
      <c r="M156" s="45">
        <v>79800</v>
      </c>
      <c r="N156" s="45">
        <v>56770</v>
      </c>
      <c r="O156" s="45">
        <v>23030</v>
      </c>
      <c r="P156" s="3">
        <v>28.86</v>
      </c>
      <c r="Q156" s="32" t="s">
        <v>28</v>
      </c>
      <c r="R156" s="32" t="s">
        <v>29</v>
      </c>
      <c r="S156" s="32" t="s">
        <v>68</v>
      </c>
      <c r="T156" s="32" t="s">
        <v>41</v>
      </c>
      <c r="U156" s="38">
        <v>3</v>
      </c>
      <c r="V156" s="9"/>
    </row>
    <row r="157" spans="1:22" x14ac:dyDescent="0.35">
      <c r="A157" s="18" t="s">
        <v>250</v>
      </c>
      <c r="B157" s="8">
        <v>45381</v>
      </c>
      <c r="C157" s="23" t="s">
        <v>53</v>
      </c>
      <c r="D157" s="23" t="s">
        <v>65</v>
      </c>
      <c r="E157" s="23" t="s">
        <v>48</v>
      </c>
      <c r="F157" s="28">
        <v>2024</v>
      </c>
      <c r="G157" s="23" t="s">
        <v>43</v>
      </c>
      <c r="H157" s="23" t="s">
        <v>101</v>
      </c>
      <c r="I157" s="23" t="s">
        <v>27</v>
      </c>
      <c r="J157" s="46">
        <v>9000</v>
      </c>
      <c r="K157" s="4">
        <v>3</v>
      </c>
      <c r="L157" s="5">
        <v>10</v>
      </c>
      <c r="M157" s="46">
        <v>24300</v>
      </c>
      <c r="N157" s="46">
        <v>14881</v>
      </c>
      <c r="O157" s="46">
        <v>9419</v>
      </c>
      <c r="P157" s="6">
        <v>38.76</v>
      </c>
      <c r="Q157" s="33" t="s">
        <v>81</v>
      </c>
      <c r="R157" s="33" t="s">
        <v>45</v>
      </c>
      <c r="S157" s="33" t="s">
        <v>68</v>
      </c>
      <c r="T157" s="33" t="s">
        <v>31</v>
      </c>
      <c r="U157" s="39">
        <v>2</v>
      </c>
      <c r="V157" s="9"/>
    </row>
    <row r="158" spans="1:22" x14ac:dyDescent="0.35">
      <c r="A158" s="17" t="s">
        <v>251</v>
      </c>
      <c r="B158" s="7">
        <v>45438</v>
      </c>
      <c r="C158" s="22" t="s">
        <v>70</v>
      </c>
      <c r="D158" s="22" t="s">
        <v>116</v>
      </c>
      <c r="E158" s="22" t="s">
        <v>35</v>
      </c>
      <c r="F158" s="27">
        <v>2024</v>
      </c>
      <c r="G158" s="22" t="s">
        <v>61</v>
      </c>
      <c r="H158" s="22" t="s">
        <v>126</v>
      </c>
      <c r="I158" s="22" t="s">
        <v>55</v>
      </c>
      <c r="J158" s="45">
        <v>12000</v>
      </c>
      <c r="K158" s="1">
        <v>9</v>
      </c>
      <c r="L158" s="2">
        <v>0</v>
      </c>
      <c r="M158" s="45">
        <v>108000</v>
      </c>
      <c r="N158" s="45">
        <v>64206</v>
      </c>
      <c r="O158" s="45">
        <v>43794</v>
      </c>
      <c r="P158" s="3">
        <v>40.549999999999997</v>
      </c>
      <c r="Q158" s="32" t="s">
        <v>81</v>
      </c>
      <c r="R158" s="32" t="s">
        <v>67</v>
      </c>
      <c r="S158" s="32" t="s">
        <v>68</v>
      </c>
      <c r="T158" s="32" t="s">
        <v>41</v>
      </c>
      <c r="U158" s="38">
        <v>2</v>
      </c>
      <c r="V158" s="9"/>
    </row>
    <row r="159" spans="1:22" x14ac:dyDescent="0.35">
      <c r="A159" s="18" t="s">
        <v>252</v>
      </c>
      <c r="B159" s="8">
        <v>45052</v>
      </c>
      <c r="C159" s="23" t="s">
        <v>53</v>
      </c>
      <c r="D159" s="23" t="s">
        <v>116</v>
      </c>
      <c r="E159" s="23" t="s">
        <v>35</v>
      </c>
      <c r="F159" s="28">
        <v>2023</v>
      </c>
      <c r="G159" s="23" t="s">
        <v>61</v>
      </c>
      <c r="H159" s="23" t="s">
        <v>106</v>
      </c>
      <c r="I159" s="23" t="s">
        <v>38</v>
      </c>
      <c r="J159" s="46">
        <v>12000</v>
      </c>
      <c r="K159" s="4">
        <v>8</v>
      </c>
      <c r="L159" s="5">
        <v>0</v>
      </c>
      <c r="M159" s="46">
        <v>96000</v>
      </c>
      <c r="N159" s="46">
        <v>67466</v>
      </c>
      <c r="O159" s="46">
        <v>28534</v>
      </c>
      <c r="P159" s="6">
        <v>29.72</v>
      </c>
      <c r="Q159" s="33" t="s">
        <v>51</v>
      </c>
      <c r="R159" s="33" t="s">
        <v>76</v>
      </c>
      <c r="S159" s="33" t="s">
        <v>57</v>
      </c>
      <c r="T159" s="33" t="s">
        <v>31</v>
      </c>
      <c r="U159" s="39">
        <v>5</v>
      </c>
      <c r="V159" s="9"/>
    </row>
    <row r="160" spans="1:22" x14ac:dyDescent="0.35">
      <c r="A160" s="17" t="s">
        <v>253</v>
      </c>
      <c r="B160" s="7">
        <v>45482</v>
      </c>
      <c r="C160" s="22" t="s">
        <v>83</v>
      </c>
      <c r="D160" s="22" t="s">
        <v>71</v>
      </c>
      <c r="E160" s="22" t="s">
        <v>72</v>
      </c>
      <c r="F160" s="27">
        <v>2024</v>
      </c>
      <c r="G160" s="22" t="s">
        <v>36</v>
      </c>
      <c r="H160" s="22" t="s">
        <v>145</v>
      </c>
      <c r="I160" s="22" t="s">
        <v>50</v>
      </c>
      <c r="J160" s="45">
        <v>12000</v>
      </c>
      <c r="K160" s="1">
        <v>3</v>
      </c>
      <c r="L160" s="2">
        <v>15</v>
      </c>
      <c r="M160" s="45">
        <v>30600</v>
      </c>
      <c r="N160" s="45">
        <v>20521</v>
      </c>
      <c r="O160" s="45">
        <v>10079</v>
      </c>
      <c r="P160" s="3">
        <v>32.94</v>
      </c>
      <c r="Q160" s="32" t="s">
        <v>39</v>
      </c>
      <c r="R160" s="32" t="s">
        <v>45</v>
      </c>
      <c r="S160" s="32" t="s">
        <v>85</v>
      </c>
      <c r="T160" s="32" t="s">
        <v>31</v>
      </c>
      <c r="U160" s="38">
        <v>2</v>
      </c>
      <c r="V160" s="9"/>
    </row>
    <row r="161" spans="1:22" x14ac:dyDescent="0.35">
      <c r="A161" s="18" t="s">
        <v>254</v>
      </c>
      <c r="B161" s="8">
        <v>45069</v>
      </c>
      <c r="C161" s="23" t="s">
        <v>83</v>
      </c>
      <c r="D161" s="23" t="s">
        <v>116</v>
      </c>
      <c r="E161" s="23" t="s">
        <v>35</v>
      </c>
      <c r="F161" s="28">
        <v>2023</v>
      </c>
      <c r="G161" s="23" t="s">
        <v>36</v>
      </c>
      <c r="H161" s="23" t="s">
        <v>113</v>
      </c>
      <c r="I161" s="23" t="s">
        <v>38</v>
      </c>
      <c r="J161" s="46">
        <v>3500</v>
      </c>
      <c r="K161" s="4">
        <v>1</v>
      </c>
      <c r="L161" s="5">
        <v>0</v>
      </c>
      <c r="M161" s="46">
        <v>3500</v>
      </c>
      <c r="N161" s="46">
        <v>2255</v>
      </c>
      <c r="O161" s="46">
        <v>1245</v>
      </c>
      <c r="P161" s="6">
        <v>35.57</v>
      </c>
      <c r="Q161" s="33" t="s">
        <v>81</v>
      </c>
      <c r="R161" s="33" t="s">
        <v>67</v>
      </c>
      <c r="S161" s="33" t="s">
        <v>85</v>
      </c>
      <c r="T161" s="33" t="s">
        <v>31</v>
      </c>
      <c r="U161" s="39">
        <v>1</v>
      </c>
      <c r="V161" s="9"/>
    </row>
    <row r="162" spans="1:22" x14ac:dyDescent="0.35">
      <c r="A162" s="17" t="s">
        <v>255</v>
      </c>
      <c r="B162" s="7">
        <v>45243</v>
      </c>
      <c r="C162" s="22" t="s">
        <v>90</v>
      </c>
      <c r="D162" s="22" t="s">
        <v>110</v>
      </c>
      <c r="E162" s="22" t="s">
        <v>24</v>
      </c>
      <c r="F162" s="27">
        <v>2023</v>
      </c>
      <c r="G162" s="22" t="s">
        <v>61</v>
      </c>
      <c r="H162" s="22" t="s">
        <v>98</v>
      </c>
      <c r="I162" s="22" t="s">
        <v>63</v>
      </c>
      <c r="J162" s="45">
        <v>28000</v>
      </c>
      <c r="K162" s="1">
        <v>9</v>
      </c>
      <c r="L162" s="2">
        <v>5</v>
      </c>
      <c r="M162" s="45">
        <v>239400</v>
      </c>
      <c r="N162" s="45">
        <v>162973</v>
      </c>
      <c r="O162" s="45">
        <v>76427</v>
      </c>
      <c r="P162" s="3">
        <v>31.92</v>
      </c>
      <c r="Q162" s="32" t="s">
        <v>75</v>
      </c>
      <c r="R162" s="32" t="s">
        <v>76</v>
      </c>
      <c r="S162" s="32" t="s">
        <v>68</v>
      </c>
      <c r="T162" s="32" t="s">
        <v>31</v>
      </c>
      <c r="U162" s="38">
        <v>4</v>
      </c>
      <c r="V162" s="9"/>
    </row>
    <row r="163" spans="1:22" x14ac:dyDescent="0.35">
      <c r="A163" s="18" t="s">
        <v>256</v>
      </c>
      <c r="B163" s="8">
        <v>45404</v>
      </c>
      <c r="C163" s="23" t="s">
        <v>90</v>
      </c>
      <c r="D163" s="23" t="s">
        <v>34</v>
      </c>
      <c r="E163" s="23" t="s">
        <v>35</v>
      </c>
      <c r="F163" s="28">
        <v>2024</v>
      </c>
      <c r="G163" s="23" t="s">
        <v>25</v>
      </c>
      <c r="H163" s="23" t="s">
        <v>54</v>
      </c>
      <c r="I163" s="23" t="s">
        <v>55</v>
      </c>
      <c r="J163" s="46">
        <v>18000</v>
      </c>
      <c r="K163" s="4">
        <v>3</v>
      </c>
      <c r="L163" s="5">
        <v>20</v>
      </c>
      <c r="M163" s="46">
        <v>43200</v>
      </c>
      <c r="N163" s="46">
        <v>29490</v>
      </c>
      <c r="O163" s="46">
        <v>13710</v>
      </c>
      <c r="P163" s="6">
        <v>31.74</v>
      </c>
      <c r="Q163" s="33" t="s">
        <v>75</v>
      </c>
      <c r="R163" s="33" t="s">
        <v>56</v>
      </c>
      <c r="S163" s="33" t="s">
        <v>68</v>
      </c>
      <c r="T163" s="33" t="s">
        <v>31</v>
      </c>
      <c r="U163" s="39">
        <v>1</v>
      </c>
      <c r="V163" s="9"/>
    </row>
    <row r="164" spans="1:22" x14ac:dyDescent="0.35">
      <c r="A164" s="17" t="s">
        <v>257</v>
      </c>
      <c r="B164" s="7">
        <v>45457</v>
      </c>
      <c r="C164" s="22" t="s">
        <v>78</v>
      </c>
      <c r="D164" s="22" t="s">
        <v>87</v>
      </c>
      <c r="E164" s="22" t="s">
        <v>35</v>
      </c>
      <c r="F164" s="27">
        <v>2024</v>
      </c>
      <c r="G164" s="22" t="s">
        <v>61</v>
      </c>
      <c r="H164" s="22" t="s">
        <v>123</v>
      </c>
      <c r="I164" s="22" t="s">
        <v>38</v>
      </c>
      <c r="J164" s="45">
        <v>14000</v>
      </c>
      <c r="K164" s="1">
        <v>3</v>
      </c>
      <c r="L164" s="2">
        <v>0</v>
      </c>
      <c r="M164" s="45">
        <v>42000</v>
      </c>
      <c r="N164" s="45">
        <v>25404</v>
      </c>
      <c r="O164" s="45">
        <v>16596</v>
      </c>
      <c r="P164" s="3">
        <v>39.51</v>
      </c>
      <c r="Q164" s="32" t="s">
        <v>39</v>
      </c>
      <c r="R164" s="32" t="s">
        <v>45</v>
      </c>
      <c r="S164" s="32" t="s">
        <v>85</v>
      </c>
      <c r="T164" s="32" t="s">
        <v>31</v>
      </c>
      <c r="U164" s="38">
        <v>3</v>
      </c>
      <c r="V164" s="9"/>
    </row>
    <row r="165" spans="1:22" x14ac:dyDescent="0.35">
      <c r="A165" s="18" t="s">
        <v>258</v>
      </c>
      <c r="B165" s="8">
        <v>45128</v>
      </c>
      <c r="C165" s="23" t="s">
        <v>78</v>
      </c>
      <c r="D165" s="23" t="s">
        <v>71</v>
      </c>
      <c r="E165" s="23" t="s">
        <v>72</v>
      </c>
      <c r="F165" s="28">
        <v>2023</v>
      </c>
      <c r="G165" s="23" t="s">
        <v>36</v>
      </c>
      <c r="H165" s="23" t="s">
        <v>54</v>
      </c>
      <c r="I165" s="23" t="s">
        <v>55</v>
      </c>
      <c r="J165" s="46">
        <v>18000</v>
      </c>
      <c r="K165" s="4">
        <v>3</v>
      </c>
      <c r="L165" s="5">
        <v>15</v>
      </c>
      <c r="M165" s="46">
        <v>45900</v>
      </c>
      <c r="N165" s="46">
        <v>27608</v>
      </c>
      <c r="O165" s="46">
        <v>18292</v>
      </c>
      <c r="P165" s="6">
        <v>39.85</v>
      </c>
      <c r="Q165" s="33" t="s">
        <v>75</v>
      </c>
      <c r="R165" s="33" t="s">
        <v>76</v>
      </c>
      <c r="S165" s="33" t="s">
        <v>85</v>
      </c>
      <c r="T165" s="33" t="s">
        <v>31</v>
      </c>
      <c r="U165" s="39">
        <v>2</v>
      </c>
      <c r="V165" s="9"/>
    </row>
    <row r="166" spans="1:22" x14ac:dyDescent="0.35">
      <c r="A166" s="17" t="s">
        <v>259</v>
      </c>
      <c r="B166" s="7">
        <v>45601</v>
      </c>
      <c r="C166" s="22" t="s">
        <v>83</v>
      </c>
      <c r="D166" s="22" t="s">
        <v>110</v>
      </c>
      <c r="E166" s="22" t="s">
        <v>24</v>
      </c>
      <c r="F166" s="27">
        <v>2024</v>
      </c>
      <c r="G166" s="22" t="s">
        <v>43</v>
      </c>
      <c r="H166" s="22" t="s">
        <v>88</v>
      </c>
      <c r="I166" s="22" t="s">
        <v>55</v>
      </c>
      <c r="J166" s="45">
        <v>8000</v>
      </c>
      <c r="K166" s="1">
        <v>6</v>
      </c>
      <c r="L166" s="2">
        <v>20</v>
      </c>
      <c r="M166" s="45">
        <v>38400</v>
      </c>
      <c r="N166" s="45">
        <v>27151</v>
      </c>
      <c r="O166" s="45">
        <v>11249</v>
      </c>
      <c r="P166" s="3">
        <v>29.29</v>
      </c>
      <c r="Q166" s="32" t="s">
        <v>28</v>
      </c>
      <c r="R166" s="32" t="s">
        <v>76</v>
      </c>
      <c r="S166" s="32" t="s">
        <v>30</v>
      </c>
      <c r="T166" s="32" t="s">
        <v>41</v>
      </c>
      <c r="U166" s="38">
        <v>2</v>
      </c>
      <c r="V166" s="9"/>
    </row>
    <row r="167" spans="1:22" x14ac:dyDescent="0.35">
      <c r="A167" s="18" t="s">
        <v>260</v>
      </c>
      <c r="B167" s="8">
        <v>45512</v>
      </c>
      <c r="C167" s="23" t="s">
        <v>33</v>
      </c>
      <c r="D167" s="23" t="s">
        <v>108</v>
      </c>
      <c r="E167" s="23" t="s">
        <v>72</v>
      </c>
      <c r="F167" s="28">
        <v>2024</v>
      </c>
      <c r="G167" s="23" t="s">
        <v>25</v>
      </c>
      <c r="H167" s="23" t="s">
        <v>119</v>
      </c>
      <c r="I167" s="23" t="s">
        <v>63</v>
      </c>
      <c r="J167" s="46">
        <v>16000</v>
      </c>
      <c r="K167" s="4">
        <v>1</v>
      </c>
      <c r="L167" s="5">
        <v>5</v>
      </c>
      <c r="M167" s="46">
        <v>15200</v>
      </c>
      <c r="N167" s="46">
        <v>10657</v>
      </c>
      <c r="O167" s="46">
        <v>4543</v>
      </c>
      <c r="P167" s="6">
        <v>29.89</v>
      </c>
      <c r="Q167" s="33" t="s">
        <v>75</v>
      </c>
      <c r="R167" s="33" t="s">
        <v>45</v>
      </c>
      <c r="S167" s="33" t="s">
        <v>57</v>
      </c>
      <c r="T167" s="33" t="s">
        <v>31</v>
      </c>
      <c r="U167" s="39">
        <v>4</v>
      </c>
      <c r="V167" s="9"/>
    </row>
    <row r="168" spans="1:22" x14ac:dyDescent="0.35">
      <c r="A168" s="17" t="s">
        <v>261</v>
      </c>
      <c r="B168" s="7">
        <v>45231</v>
      </c>
      <c r="C168" s="22" t="s">
        <v>22</v>
      </c>
      <c r="D168" s="22" t="s">
        <v>110</v>
      </c>
      <c r="E168" s="22" t="s">
        <v>24</v>
      </c>
      <c r="F168" s="27">
        <v>2023</v>
      </c>
      <c r="G168" s="22" t="s">
        <v>61</v>
      </c>
      <c r="H168" s="22" t="s">
        <v>93</v>
      </c>
      <c r="I168" s="22" t="s">
        <v>63</v>
      </c>
      <c r="J168" s="45">
        <v>14000</v>
      </c>
      <c r="K168" s="1">
        <v>1</v>
      </c>
      <c r="L168" s="2">
        <v>0</v>
      </c>
      <c r="M168" s="45">
        <v>14000</v>
      </c>
      <c r="N168" s="45">
        <v>8746</v>
      </c>
      <c r="O168" s="45">
        <v>5254</v>
      </c>
      <c r="P168" s="3">
        <v>37.53</v>
      </c>
      <c r="Q168" s="32" t="s">
        <v>51</v>
      </c>
      <c r="R168" s="32" t="s">
        <v>67</v>
      </c>
      <c r="S168" s="32" t="s">
        <v>68</v>
      </c>
      <c r="T168" s="32" t="s">
        <v>31</v>
      </c>
      <c r="U168" s="38">
        <v>3</v>
      </c>
      <c r="V168" s="9"/>
    </row>
    <row r="169" spans="1:22" x14ac:dyDescent="0.35">
      <c r="A169" s="18" t="s">
        <v>262</v>
      </c>
      <c r="B169" s="8">
        <v>45253</v>
      </c>
      <c r="C169" s="23" t="s">
        <v>33</v>
      </c>
      <c r="D169" s="23" t="s">
        <v>110</v>
      </c>
      <c r="E169" s="23" t="s">
        <v>24</v>
      </c>
      <c r="F169" s="28">
        <v>2023</v>
      </c>
      <c r="G169" s="23" t="s">
        <v>36</v>
      </c>
      <c r="H169" s="23" t="s">
        <v>59</v>
      </c>
      <c r="I169" s="23" t="s">
        <v>50</v>
      </c>
      <c r="J169" s="46">
        <v>22000</v>
      </c>
      <c r="K169" s="4">
        <v>3</v>
      </c>
      <c r="L169" s="5">
        <v>20</v>
      </c>
      <c r="M169" s="46">
        <v>52800</v>
      </c>
      <c r="N169" s="46">
        <v>32366</v>
      </c>
      <c r="O169" s="46">
        <v>20434</v>
      </c>
      <c r="P169" s="6">
        <v>38.700000000000003</v>
      </c>
      <c r="Q169" s="33" t="s">
        <v>75</v>
      </c>
      <c r="R169" s="33" t="s">
        <v>76</v>
      </c>
      <c r="S169" s="33" t="s">
        <v>57</v>
      </c>
      <c r="T169" s="33" t="s">
        <v>41</v>
      </c>
      <c r="U169" s="39">
        <v>1</v>
      </c>
      <c r="V169" s="9"/>
    </row>
    <row r="170" spans="1:22" x14ac:dyDescent="0.35">
      <c r="A170" s="17" t="s">
        <v>263</v>
      </c>
      <c r="B170" s="7">
        <v>45200</v>
      </c>
      <c r="C170" s="22" t="s">
        <v>70</v>
      </c>
      <c r="D170" s="22" t="s">
        <v>23</v>
      </c>
      <c r="E170" s="22" t="s">
        <v>24</v>
      </c>
      <c r="F170" s="27">
        <v>2023</v>
      </c>
      <c r="G170" s="22" t="s">
        <v>36</v>
      </c>
      <c r="H170" s="22" t="s">
        <v>131</v>
      </c>
      <c r="I170" s="22" t="s">
        <v>63</v>
      </c>
      <c r="J170" s="45">
        <v>10000</v>
      </c>
      <c r="K170" s="1">
        <v>3</v>
      </c>
      <c r="L170" s="2">
        <v>0</v>
      </c>
      <c r="M170" s="45">
        <v>30000</v>
      </c>
      <c r="N170" s="45">
        <v>16758</v>
      </c>
      <c r="O170" s="45">
        <v>13242</v>
      </c>
      <c r="P170" s="3">
        <v>44.14</v>
      </c>
      <c r="Q170" s="32" t="s">
        <v>51</v>
      </c>
      <c r="R170" s="32" t="s">
        <v>29</v>
      </c>
      <c r="S170" s="32" t="s">
        <v>40</v>
      </c>
      <c r="T170" s="32" t="s">
        <v>31</v>
      </c>
      <c r="U170" s="38">
        <v>3</v>
      </c>
      <c r="V170" s="9"/>
    </row>
    <row r="171" spans="1:22" x14ac:dyDescent="0.35">
      <c r="A171" s="18" t="s">
        <v>264</v>
      </c>
      <c r="B171" s="8">
        <v>45518</v>
      </c>
      <c r="C171" s="23" t="s">
        <v>22</v>
      </c>
      <c r="D171" s="23" t="s">
        <v>108</v>
      </c>
      <c r="E171" s="23" t="s">
        <v>72</v>
      </c>
      <c r="F171" s="28">
        <v>2024</v>
      </c>
      <c r="G171" s="23" t="s">
        <v>25</v>
      </c>
      <c r="H171" s="23" t="s">
        <v>104</v>
      </c>
      <c r="I171" s="23" t="s">
        <v>50</v>
      </c>
      <c r="J171" s="46">
        <v>15000</v>
      </c>
      <c r="K171" s="4">
        <v>3</v>
      </c>
      <c r="L171" s="5">
        <v>5</v>
      </c>
      <c r="M171" s="46">
        <v>42750</v>
      </c>
      <c r="N171" s="46">
        <v>30751</v>
      </c>
      <c r="O171" s="46">
        <v>11999</v>
      </c>
      <c r="P171" s="6">
        <v>28.07</v>
      </c>
      <c r="Q171" s="33" t="s">
        <v>51</v>
      </c>
      <c r="R171" s="33" t="s">
        <v>67</v>
      </c>
      <c r="S171" s="33" t="s">
        <v>57</v>
      </c>
      <c r="T171" s="33" t="s">
        <v>31</v>
      </c>
      <c r="U171" s="39">
        <v>1</v>
      </c>
      <c r="V171" s="9"/>
    </row>
    <row r="172" spans="1:22" x14ac:dyDescent="0.35">
      <c r="A172" s="17" t="s">
        <v>265</v>
      </c>
      <c r="B172" s="7">
        <v>45329</v>
      </c>
      <c r="C172" s="22" t="s">
        <v>22</v>
      </c>
      <c r="D172" s="22" t="s">
        <v>74</v>
      </c>
      <c r="E172" s="22" t="s">
        <v>48</v>
      </c>
      <c r="F172" s="27">
        <v>2024</v>
      </c>
      <c r="G172" s="22" t="s">
        <v>25</v>
      </c>
      <c r="H172" s="22" t="s">
        <v>126</v>
      </c>
      <c r="I172" s="22" t="s">
        <v>55</v>
      </c>
      <c r="J172" s="45">
        <v>12000</v>
      </c>
      <c r="K172" s="1">
        <v>4</v>
      </c>
      <c r="L172" s="2">
        <v>0</v>
      </c>
      <c r="M172" s="45">
        <v>48000</v>
      </c>
      <c r="N172" s="45">
        <v>31160</v>
      </c>
      <c r="O172" s="45">
        <v>16840</v>
      </c>
      <c r="P172" s="3">
        <v>35.08</v>
      </c>
      <c r="Q172" s="32" t="s">
        <v>28</v>
      </c>
      <c r="R172" s="32" t="s">
        <v>76</v>
      </c>
      <c r="S172" s="32" t="s">
        <v>57</v>
      </c>
      <c r="T172" s="32" t="s">
        <v>41</v>
      </c>
      <c r="U172" s="38">
        <v>3</v>
      </c>
      <c r="V172" s="9"/>
    </row>
    <row r="173" spans="1:22" x14ac:dyDescent="0.35">
      <c r="A173" s="18" t="s">
        <v>266</v>
      </c>
      <c r="B173" s="8">
        <v>45476</v>
      </c>
      <c r="C173" s="23" t="s">
        <v>22</v>
      </c>
      <c r="D173" s="23" t="s">
        <v>71</v>
      </c>
      <c r="E173" s="23" t="s">
        <v>72</v>
      </c>
      <c r="F173" s="28">
        <v>2024</v>
      </c>
      <c r="G173" s="23" t="s">
        <v>43</v>
      </c>
      <c r="H173" s="23" t="s">
        <v>26</v>
      </c>
      <c r="I173" s="23" t="s">
        <v>27</v>
      </c>
      <c r="J173" s="46">
        <v>5000</v>
      </c>
      <c r="K173" s="4">
        <v>7</v>
      </c>
      <c r="L173" s="5">
        <v>0</v>
      </c>
      <c r="M173" s="46">
        <v>35000</v>
      </c>
      <c r="N173" s="46">
        <v>24501</v>
      </c>
      <c r="O173" s="46">
        <v>10499</v>
      </c>
      <c r="P173" s="6">
        <v>30</v>
      </c>
      <c r="Q173" s="33" t="s">
        <v>81</v>
      </c>
      <c r="R173" s="33" t="s">
        <v>67</v>
      </c>
      <c r="S173" s="33" t="s">
        <v>57</v>
      </c>
      <c r="T173" s="33" t="s">
        <v>41</v>
      </c>
      <c r="U173" s="39">
        <v>1</v>
      </c>
      <c r="V173" s="9"/>
    </row>
    <row r="174" spans="1:22" x14ac:dyDescent="0.35">
      <c r="A174" s="17" t="s">
        <v>267</v>
      </c>
      <c r="B174" s="7">
        <v>45510</v>
      </c>
      <c r="C174" s="22" t="s">
        <v>83</v>
      </c>
      <c r="D174" s="22" t="s">
        <v>108</v>
      </c>
      <c r="E174" s="22" t="s">
        <v>72</v>
      </c>
      <c r="F174" s="27">
        <v>2024</v>
      </c>
      <c r="G174" s="22" t="s">
        <v>61</v>
      </c>
      <c r="H174" s="22" t="s">
        <v>186</v>
      </c>
      <c r="I174" s="22" t="s">
        <v>55</v>
      </c>
      <c r="J174" s="45">
        <v>20000</v>
      </c>
      <c r="K174" s="1">
        <v>6</v>
      </c>
      <c r="L174" s="2">
        <v>10</v>
      </c>
      <c r="M174" s="45">
        <v>108000</v>
      </c>
      <c r="N174" s="45">
        <v>64699</v>
      </c>
      <c r="O174" s="45">
        <v>43301</v>
      </c>
      <c r="P174" s="3">
        <v>40.090000000000003</v>
      </c>
      <c r="Q174" s="32" t="s">
        <v>51</v>
      </c>
      <c r="R174" s="32" t="s">
        <v>29</v>
      </c>
      <c r="S174" s="32" t="s">
        <v>40</v>
      </c>
      <c r="T174" s="32" t="s">
        <v>31</v>
      </c>
      <c r="U174" s="38">
        <v>2</v>
      </c>
      <c r="V174" s="9"/>
    </row>
    <row r="175" spans="1:22" x14ac:dyDescent="0.35">
      <c r="A175" s="18" t="s">
        <v>268</v>
      </c>
      <c r="B175" s="8">
        <v>45026</v>
      </c>
      <c r="C175" s="23" t="s">
        <v>90</v>
      </c>
      <c r="D175" s="23" t="s">
        <v>34</v>
      </c>
      <c r="E175" s="23" t="s">
        <v>35</v>
      </c>
      <c r="F175" s="28">
        <v>2023</v>
      </c>
      <c r="G175" s="23" t="s">
        <v>25</v>
      </c>
      <c r="H175" s="23" t="s">
        <v>62</v>
      </c>
      <c r="I175" s="23" t="s">
        <v>63</v>
      </c>
      <c r="J175" s="46">
        <v>5000</v>
      </c>
      <c r="K175" s="4">
        <v>6</v>
      </c>
      <c r="L175" s="5">
        <v>10</v>
      </c>
      <c r="M175" s="46">
        <v>27000</v>
      </c>
      <c r="N175" s="46">
        <v>19160</v>
      </c>
      <c r="O175" s="46">
        <v>7840</v>
      </c>
      <c r="P175" s="6">
        <v>29.04</v>
      </c>
      <c r="Q175" s="33" t="s">
        <v>39</v>
      </c>
      <c r="R175" s="33" t="s">
        <v>56</v>
      </c>
      <c r="S175" s="33" t="s">
        <v>85</v>
      </c>
      <c r="T175" s="33" t="s">
        <v>31</v>
      </c>
      <c r="U175" s="39">
        <v>1</v>
      </c>
      <c r="V175" s="9"/>
    </row>
    <row r="176" spans="1:22" x14ac:dyDescent="0.35">
      <c r="A176" s="17" t="s">
        <v>269</v>
      </c>
      <c r="B176" s="7">
        <v>44966</v>
      </c>
      <c r="C176" s="22" t="s">
        <v>33</v>
      </c>
      <c r="D176" s="22" t="s">
        <v>74</v>
      </c>
      <c r="E176" s="22" t="s">
        <v>48</v>
      </c>
      <c r="F176" s="27">
        <v>2023</v>
      </c>
      <c r="G176" s="22" t="s">
        <v>61</v>
      </c>
      <c r="H176" s="22" t="s">
        <v>123</v>
      </c>
      <c r="I176" s="22" t="s">
        <v>38</v>
      </c>
      <c r="J176" s="45">
        <v>14000</v>
      </c>
      <c r="K176" s="1">
        <v>8</v>
      </c>
      <c r="L176" s="2">
        <v>10</v>
      </c>
      <c r="M176" s="45">
        <v>100800</v>
      </c>
      <c r="N176" s="45">
        <v>63271</v>
      </c>
      <c r="O176" s="45">
        <v>37529</v>
      </c>
      <c r="P176" s="3">
        <v>37.229999999999997</v>
      </c>
      <c r="Q176" s="32" t="s">
        <v>75</v>
      </c>
      <c r="R176" s="32" t="s">
        <v>29</v>
      </c>
      <c r="S176" s="32" t="s">
        <v>68</v>
      </c>
      <c r="T176" s="32" t="s">
        <v>41</v>
      </c>
      <c r="U176" s="38">
        <v>2</v>
      </c>
      <c r="V176" s="9"/>
    </row>
    <row r="177" spans="1:22" x14ac:dyDescent="0.35">
      <c r="A177" s="18" t="s">
        <v>270</v>
      </c>
      <c r="B177" s="8">
        <v>45329</v>
      </c>
      <c r="C177" s="23" t="s">
        <v>22</v>
      </c>
      <c r="D177" s="23" t="s">
        <v>74</v>
      </c>
      <c r="E177" s="23" t="s">
        <v>48</v>
      </c>
      <c r="F177" s="28">
        <v>2024</v>
      </c>
      <c r="G177" s="23" t="s">
        <v>61</v>
      </c>
      <c r="H177" s="23" t="s">
        <v>54</v>
      </c>
      <c r="I177" s="23" t="s">
        <v>55</v>
      </c>
      <c r="J177" s="46">
        <v>18000</v>
      </c>
      <c r="K177" s="4">
        <v>10</v>
      </c>
      <c r="L177" s="5">
        <v>0</v>
      </c>
      <c r="M177" s="46">
        <v>180000</v>
      </c>
      <c r="N177" s="46">
        <v>114524</v>
      </c>
      <c r="O177" s="46">
        <v>65476</v>
      </c>
      <c r="P177" s="6">
        <v>36.380000000000003</v>
      </c>
      <c r="Q177" s="33" t="s">
        <v>75</v>
      </c>
      <c r="R177" s="33" t="s">
        <v>29</v>
      </c>
      <c r="S177" s="33" t="s">
        <v>40</v>
      </c>
      <c r="T177" s="33" t="s">
        <v>41</v>
      </c>
      <c r="U177" s="39">
        <v>1</v>
      </c>
      <c r="V177" s="9"/>
    </row>
    <row r="178" spans="1:22" x14ac:dyDescent="0.35">
      <c r="A178" s="17" t="s">
        <v>271</v>
      </c>
      <c r="B178" s="7">
        <v>45304</v>
      </c>
      <c r="C178" s="22" t="s">
        <v>53</v>
      </c>
      <c r="D178" s="22" t="s">
        <v>47</v>
      </c>
      <c r="E178" s="22" t="s">
        <v>48</v>
      </c>
      <c r="F178" s="27">
        <v>2024</v>
      </c>
      <c r="G178" s="22" t="s">
        <v>61</v>
      </c>
      <c r="H178" s="22" t="s">
        <v>117</v>
      </c>
      <c r="I178" s="22" t="s">
        <v>50</v>
      </c>
      <c r="J178" s="45">
        <v>8000</v>
      </c>
      <c r="K178" s="1">
        <v>7</v>
      </c>
      <c r="L178" s="2">
        <v>10</v>
      </c>
      <c r="M178" s="45">
        <v>50400</v>
      </c>
      <c r="N178" s="45">
        <v>30356</v>
      </c>
      <c r="O178" s="45">
        <v>20044</v>
      </c>
      <c r="P178" s="3">
        <v>39.770000000000003</v>
      </c>
      <c r="Q178" s="32" t="s">
        <v>28</v>
      </c>
      <c r="R178" s="32" t="s">
        <v>29</v>
      </c>
      <c r="S178" s="32" t="s">
        <v>40</v>
      </c>
      <c r="T178" s="32" t="s">
        <v>31</v>
      </c>
      <c r="U178" s="38">
        <v>1</v>
      </c>
      <c r="V178" s="9"/>
    </row>
    <row r="179" spans="1:22" x14ac:dyDescent="0.35">
      <c r="A179" s="18" t="s">
        <v>272</v>
      </c>
      <c r="B179" s="8">
        <v>45524</v>
      </c>
      <c r="C179" s="23" t="s">
        <v>83</v>
      </c>
      <c r="D179" s="23" t="s">
        <v>108</v>
      </c>
      <c r="E179" s="23" t="s">
        <v>72</v>
      </c>
      <c r="F179" s="28">
        <v>2024</v>
      </c>
      <c r="G179" s="23" t="s">
        <v>43</v>
      </c>
      <c r="H179" s="23" t="s">
        <v>131</v>
      </c>
      <c r="I179" s="23" t="s">
        <v>63</v>
      </c>
      <c r="J179" s="46">
        <v>10000</v>
      </c>
      <c r="K179" s="4">
        <v>9</v>
      </c>
      <c r="L179" s="5">
        <v>15</v>
      </c>
      <c r="M179" s="46">
        <v>76500</v>
      </c>
      <c r="N179" s="46">
        <v>51454</v>
      </c>
      <c r="O179" s="46">
        <v>25046</v>
      </c>
      <c r="P179" s="6">
        <v>32.74</v>
      </c>
      <c r="Q179" s="33" t="s">
        <v>51</v>
      </c>
      <c r="R179" s="33" t="s">
        <v>56</v>
      </c>
      <c r="S179" s="33" t="s">
        <v>68</v>
      </c>
      <c r="T179" s="33" t="s">
        <v>31</v>
      </c>
      <c r="U179" s="39">
        <v>2</v>
      </c>
      <c r="V179" s="9"/>
    </row>
    <row r="180" spans="1:22" x14ac:dyDescent="0.35">
      <c r="A180" s="17" t="s">
        <v>273</v>
      </c>
      <c r="B180" s="7">
        <v>44946</v>
      </c>
      <c r="C180" s="22" t="s">
        <v>78</v>
      </c>
      <c r="D180" s="22" t="s">
        <v>47</v>
      </c>
      <c r="E180" s="22" t="s">
        <v>48</v>
      </c>
      <c r="F180" s="27">
        <v>2023</v>
      </c>
      <c r="G180" s="22" t="s">
        <v>25</v>
      </c>
      <c r="H180" s="22" t="s">
        <v>62</v>
      </c>
      <c r="I180" s="22" t="s">
        <v>63</v>
      </c>
      <c r="J180" s="45">
        <v>5000</v>
      </c>
      <c r="K180" s="1">
        <v>7</v>
      </c>
      <c r="L180" s="2">
        <v>0</v>
      </c>
      <c r="M180" s="45">
        <v>35000</v>
      </c>
      <c r="N180" s="45">
        <v>21707</v>
      </c>
      <c r="O180" s="45">
        <v>13293</v>
      </c>
      <c r="P180" s="3">
        <v>37.979999999999997</v>
      </c>
      <c r="Q180" s="32" t="s">
        <v>39</v>
      </c>
      <c r="R180" s="32" t="s">
        <v>67</v>
      </c>
      <c r="S180" s="32" t="s">
        <v>85</v>
      </c>
      <c r="T180" s="32" t="s">
        <v>31</v>
      </c>
      <c r="U180" s="38">
        <v>2</v>
      </c>
      <c r="V180" s="9"/>
    </row>
    <row r="181" spans="1:22" x14ac:dyDescent="0.35">
      <c r="A181" s="18" t="s">
        <v>274</v>
      </c>
      <c r="B181" s="8">
        <v>45458</v>
      </c>
      <c r="C181" s="23" t="s">
        <v>53</v>
      </c>
      <c r="D181" s="23" t="s">
        <v>87</v>
      </c>
      <c r="E181" s="23" t="s">
        <v>35</v>
      </c>
      <c r="F181" s="28">
        <v>2024</v>
      </c>
      <c r="G181" s="23" t="s">
        <v>25</v>
      </c>
      <c r="H181" s="23" t="s">
        <v>66</v>
      </c>
      <c r="I181" s="23" t="s">
        <v>38</v>
      </c>
      <c r="J181" s="46">
        <v>11000</v>
      </c>
      <c r="K181" s="4">
        <v>6</v>
      </c>
      <c r="L181" s="5">
        <v>15</v>
      </c>
      <c r="M181" s="46">
        <v>56100</v>
      </c>
      <c r="N181" s="46">
        <v>35417</v>
      </c>
      <c r="O181" s="46">
        <v>20683</v>
      </c>
      <c r="P181" s="6">
        <v>36.869999999999997</v>
      </c>
      <c r="Q181" s="33" t="s">
        <v>51</v>
      </c>
      <c r="R181" s="33" t="s">
        <v>45</v>
      </c>
      <c r="S181" s="33" t="s">
        <v>68</v>
      </c>
      <c r="T181" s="33" t="s">
        <v>41</v>
      </c>
      <c r="U181" s="39">
        <v>5</v>
      </c>
      <c r="V181" s="9"/>
    </row>
    <row r="182" spans="1:22" x14ac:dyDescent="0.35">
      <c r="A182" s="17" t="s">
        <v>275</v>
      </c>
      <c r="B182" s="7">
        <v>45289</v>
      </c>
      <c r="C182" s="22" t="s">
        <v>78</v>
      </c>
      <c r="D182" s="22" t="s">
        <v>97</v>
      </c>
      <c r="E182" s="22" t="s">
        <v>24</v>
      </c>
      <c r="F182" s="27">
        <v>2023</v>
      </c>
      <c r="G182" s="22" t="s">
        <v>36</v>
      </c>
      <c r="H182" s="22" t="s">
        <v>49</v>
      </c>
      <c r="I182" s="22" t="s">
        <v>50</v>
      </c>
      <c r="J182" s="45">
        <v>18000</v>
      </c>
      <c r="K182" s="1">
        <v>8</v>
      </c>
      <c r="L182" s="2">
        <v>0</v>
      </c>
      <c r="M182" s="45">
        <v>144000</v>
      </c>
      <c r="N182" s="45">
        <v>102636</v>
      </c>
      <c r="O182" s="45">
        <v>41364</v>
      </c>
      <c r="P182" s="3">
        <v>28.73</v>
      </c>
      <c r="Q182" s="32" t="s">
        <v>81</v>
      </c>
      <c r="R182" s="32" t="s">
        <v>29</v>
      </c>
      <c r="S182" s="32" t="s">
        <v>57</v>
      </c>
      <c r="T182" s="32" t="s">
        <v>41</v>
      </c>
      <c r="U182" s="38">
        <v>3</v>
      </c>
      <c r="V182" s="9"/>
    </row>
    <row r="183" spans="1:22" x14ac:dyDescent="0.35">
      <c r="A183" s="18" t="s">
        <v>276</v>
      </c>
      <c r="B183" s="8">
        <v>45648</v>
      </c>
      <c r="C183" s="23" t="s">
        <v>70</v>
      </c>
      <c r="D183" s="23" t="s">
        <v>97</v>
      </c>
      <c r="E183" s="23" t="s">
        <v>24</v>
      </c>
      <c r="F183" s="28">
        <v>2024</v>
      </c>
      <c r="G183" s="23" t="s">
        <v>25</v>
      </c>
      <c r="H183" s="23" t="s">
        <v>113</v>
      </c>
      <c r="I183" s="23" t="s">
        <v>38</v>
      </c>
      <c r="J183" s="46">
        <v>3500</v>
      </c>
      <c r="K183" s="4">
        <v>6</v>
      </c>
      <c r="L183" s="5">
        <v>5</v>
      </c>
      <c r="M183" s="46">
        <v>19950</v>
      </c>
      <c r="N183" s="46">
        <v>12155</v>
      </c>
      <c r="O183" s="46">
        <v>7795</v>
      </c>
      <c r="P183" s="6">
        <v>39.07</v>
      </c>
      <c r="Q183" s="33" t="s">
        <v>81</v>
      </c>
      <c r="R183" s="33" t="s">
        <v>45</v>
      </c>
      <c r="S183" s="33" t="s">
        <v>30</v>
      </c>
      <c r="T183" s="33" t="s">
        <v>41</v>
      </c>
      <c r="U183" s="39">
        <v>3</v>
      </c>
      <c r="V183" s="9"/>
    </row>
    <row r="184" spans="1:22" x14ac:dyDescent="0.35">
      <c r="A184" s="17" t="s">
        <v>277</v>
      </c>
      <c r="B184" s="7">
        <v>45076</v>
      </c>
      <c r="C184" s="22" t="s">
        <v>83</v>
      </c>
      <c r="D184" s="22" t="s">
        <v>116</v>
      </c>
      <c r="E184" s="22" t="s">
        <v>35</v>
      </c>
      <c r="F184" s="27">
        <v>2023</v>
      </c>
      <c r="G184" s="22" t="s">
        <v>36</v>
      </c>
      <c r="H184" s="22" t="s">
        <v>117</v>
      </c>
      <c r="I184" s="22" t="s">
        <v>50</v>
      </c>
      <c r="J184" s="45">
        <v>8000</v>
      </c>
      <c r="K184" s="1">
        <v>5</v>
      </c>
      <c r="L184" s="2">
        <v>15</v>
      </c>
      <c r="M184" s="45">
        <v>34000</v>
      </c>
      <c r="N184" s="45">
        <v>19157</v>
      </c>
      <c r="O184" s="45">
        <v>14843</v>
      </c>
      <c r="P184" s="3">
        <v>43.66</v>
      </c>
      <c r="Q184" s="32" t="s">
        <v>51</v>
      </c>
      <c r="R184" s="32" t="s">
        <v>45</v>
      </c>
      <c r="S184" s="32" t="s">
        <v>40</v>
      </c>
      <c r="T184" s="32" t="s">
        <v>31</v>
      </c>
      <c r="U184" s="38">
        <v>5</v>
      </c>
      <c r="V184" s="9"/>
    </row>
    <row r="185" spans="1:22" x14ac:dyDescent="0.35">
      <c r="A185" s="18" t="s">
        <v>278</v>
      </c>
      <c r="B185" s="8">
        <v>45204</v>
      </c>
      <c r="C185" s="23" t="s">
        <v>33</v>
      </c>
      <c r="D185" s="23" t="s">
        <v>23</v>
      </c>
      <c r="E185" s="23" t="s">
        <v>24</v>
      </c>
      <c r="F185" s="28">
        <v>2023</v>
      </c>
      <c r="G185" s="23" t="s">
        <v>43</v>
      </c>
      <c r="H185" s="23" t="s">
        <v>54</v>
      </c>
      <c r="I185" s="23" t="s">
        <v>55</v>
      </c>
      <c r="J185" s="46">
        <v>18000</v>
      </c>
      <c r="K185" s="4">
        <v>3</v>
      </c>
      <c r="L185" s="5">
        <v>0</v>
      </c>
      <c r="M185" s="46">
        <v>54000</v>
      </c>
      <c r="N185" s="46">
        <v>35352</v>
      </c>
      <c r="O185" s="46">
        <v>18648</v>
      </c>
      <c r="P185" s="6">
        <v>34.53</v>
      </c>
      <c r="Q185" s="33" t="s">
        <v>75</v>
      </c>
      <c r="R185" s="33" t="s">
        <v>56</v>
      </c>
      <c r="S185" s="33" t="s">
        <v>68</v>
      </c>
      <c r="T185" s="33" t="s">
        <v>31</v>
      </c>
      <c r="U185" s="39">
        <v>2</v>
      </c>
      <c r="V185" s="9"/>
    </row>
    <row r="186" spans="1:22" x14ac:dyDescent="0.35">
      <c r="A186" s="17" t="s">
        <v>279</v>
      </c>
      <c r="B186" s="7">
        <v>44980</v>
      </c>
      <c r="C186" s="22" t="s">
        <v>33</v>
      </c>
      <c r="D186" s="22" t="s">
        <v>74</v>
      </c>
      <c r="E186" s="22" t="s">
        <v>48</v>
      </c>
      <c r="F186" s="27">
        <v>2023</v>
      </c>
      <c r="G186" s="22" t="s">
        <v>36</v>
      </c>
      <c r="H186" s="22" t="s">
        <v>174</v>
      </c>
      <c r="I186" s="22" t="s">
        <v>27</v>
      </c>
      <c r="J186" s="45">
        <v>12000</v>
      </c>
      <c r="K186" s="1">
        <v>6</v>
      </c>
      <c r="L186" s="2">
        <v>15</v>
      </c>
      <c r="M186" s="45">
        <v>61200</v>
      </c>
      <c r="N186" s="45">
        <v>38575</v>
      </c>
      <c r="O186" s="45">
        <v>22625</v>
      </c>
      <c r="P186" s="3">
        <v>36.97</v>
      </c>
      <c r="Q186" s="32" t="s">
        <v>39</v>
      </c>
      <c r="R186" s="32" t="s">
        <v>76</v>
      </c>
      <c r="S186" s="32" t="s">
        <v>85</v>
      </c>
      <c r="T186" s="32" t="s">
        <v>41</v>
      </c>
      <c r="U186" s="38">
        <v>4</v>
      </c>
      <c r="V186" s="9"/>
    </row>
    <row r="187" spans="1:22" x14ac:dyDescent="0.35">
      <c r="A187" s="18" t="s">
        <v>280</v>
      </c>
      <c r="B187" s="8">
        <v>45415</v>
      </c>
      <c r="C187" s="23" t="s">
        <v>78</v>
      </c>
      <c r="D187" s="23" t="s">
        <v>116</v>
      </c>
      <c r="E187" s="23" t="s">
        <v>35</v>
      </c>
      <c r="F187" s="28">
        <v>2024</v>
      </c>
      <c r="G187" s="23" t="s">
        <v>43</v>
      </c>
      <c r="H187" s="23" t="s">
        <v>123</v>
      </c>
      <c r="I187" s="23" t="s">
        <v>38</v>
      </c>
      <c r="J187" s="46">
        <v>14000</v>
      </c>
      <c r="K187" s="4">
        <v>6</v>
      </c>
      <c r="L187" s="5">
        <v>0</v>
      </c>
      <c r="M187" s="46">
        <v>84000</v>
      </c>
      <c r="N187" s="46">
        <v>55423</v>
      </c>
      <c r="O187" s="46">
        <v>28577</v>
      </c>
      <c r="P187" s="6">
        <v>34.020000000000003</v>
      </c>
      <c r="Q187" s="33" t="s">
        <v>28</v>
      </c>
      <c r="R187" s="33" t="s">
        <v>29</v>
      </c>
      <c r="S187" s="33" t="s">
        <v>68</v>
      </c>
      <c r="T187" s="33" t="s">
        <v>31</v>
      </c>
      <c r="U187" s="39">
        <v>4</v>
      </c>
      <c r="V187" s="9"/>
    </row>
    <row r="188" spans="1:22" x14ac:dyDescent="0.35">
      <c r="A188" s="17" t="s">
        <v>281</v>
      </c>
      <c r="B188" s="7">
        <v>45107</v>
      </c>
      <c r="C188" s="22" t="s">
        <v>78</v>
      </c>
      <c r="D188" s="22" t="s">
        <v>87</v>
      </c>
      <c r="E188" s="22" t="s">
        <v>35</v>
      </c>
      <c r="F188" s="27">
        <v>2023</v>
      </c>
      <c r="G188" s="22" t="s">
        <v>61</v>
      </c>
      <c r="H188" s="22" t="s">
        <v>174</v>
      </c>
      <c r="I188" s="22" t="s">
        <v>27</v>
      </c>
      <c r="J188" s="45">
        <v>12000</v>
      </c>
      <c r="K188" s="1">
        <v>8</v>
      </c>
      <c r="L188" s="2">
        <v>0</v>
      </c>
      <c r="M188" s="45">
        <v>96000</v>
      </c>
      <c r="N188" s="45">
        <v>68085</v>
      </c>
      <c r="O188" s="45">
        <v>27915</v>
      </c>
      <c r="P188" s="3">
        <v>29.08</v>
      </c>
      <c r="Q188" s="32" t="s">
        <v>81</v>
      </c>
      <c r="R188" s="32" t="s">
        <v>76</v>
      </c>
      <c r="S188" s="32" t="s">
        <v>30</v>
      </c>
      <c r="T188" s="32" t="s">
        <v>31</v>
      </c>
      <c r="U188" s="38">
        <v>3</v>
      </c>
      <c r="V188" s="9"/>
    </row>
    <row r="189" spans="1:22" x14ac:dyDescent="0.35">
      <c r="A189" s="18" t="s">
        <v>282</v>
      </c>
      <c r="B189" s="8">
        <v>45218</v>
      </c>
      <c r="C189" s="23" t="s">
        <v>33</v>
      </c>
      <c r="D189" s="23" t="s">
        <v>23</v>
      </c>
      <c r="E189" s="23" t="s">
        <v>24</v>
      </c>
      <c r="F189" s="28">
        <v>2023</v>
      </c>
      <c r="G189" s="23" t="s">
        <v>61</v>
      </c>
      <c r="H189" s="23" t="s">
        <v>119</v>
      </c>
      <c r="I189" s="23" t="s">
        <v>63</v>
      </c>
      <c r="J189" s="46">
        <v>16000</v>
      </c>
      <c r="K189" s="4">
        <v>9</v>
      </c>
      <c r="L189" s="5">
        <v>5</v>
      </c>
      <c r="M189" s="46">
        <v>136800</v>
      </c>
      <c r="N189" s="46">
        <v>95921</v>
      </c>
      <c r="O189" s="46">
        <v>40879</v>
      </c>
      <c r="P189" s="6">
        <v>29.88</v>
      </c>
      <c r="Q189" s="33" t="s">
        <v>39</v>
      </c>
      <c r="R189" s="33" t="s">
        <v>29</v>
      </c>
      <c r="S189" s="33" t="s">
        <v>40</v>
      </c>
      <c r="T189" s="33" t="s">
        <v>31</v>
      </c>
      <c r="U189" s="39">
        <v>1</v>
      </c>
      <c r="V189" s="9"/>
    </row>
    <row r="190" spans="1:22" x14ac:dyDescent="0.35">
      <c r="A190" s="17" t="s">
        <v>283</v>
      </c>
      <c r="B190" s="7">
        <v>45265</v>
      </c>
      <c r="C190" s="22" t="s">
        <v>83</v>
      </c>
      <c r="D190" s="22" t="s">
        <v>97</v>
      </c>
      <c r="E190" s="22" t="s">
        <v>24</v>
      </c>
      <c r="F190" s="27">
        <v>2023</v>
      </c>
      <c r="G190" s="22" t="s">
        <v>36</v>
      </c>
      <c r="H190" s="22" t="s">
        <v>113</v>
      </c>
      <c r="I190" s="22" t="s">
        <v>38</v>
      </c>
      <c r="J190" s="45">
        <v>3500</v>
      </c>
      <c r="K190" s="1">
        <v>5</v>
      </c>
      <c r="L190" s="2">
        <v>15</v>
      </c>
      <c r="M190" s="45">
        <v>14875</v>
      </c>
      <c r="N190" s="45">
        <v>8652</v>
      </c>
      <c r="O190" s="45">
        <v>6223</v>
      </c>
      <c r="P190" s="3">
        <v>41.84</v>
      </c>
      <c r="Q190" s="32" t="s">
        <v>81</v>
      </c>
      <c r="R190" s="32" t="s">
        <v>45</v>
      </c>
      <c r="S190" s="32" t="s">
        <v>85</v>
      </c>
      <c r="T190" s="32" t="s">
        <v>31</v>
      </c>
      <c r="U190" s="38">
        <v>5</v>
      </c>
      <c r="V190" s="9"/>
    </row>
    <row r="191" spans="1:22" x14ac:dyDescent="0.35">
      <c r="A191" s="18" t="s">
        <v>284</v>
      </c>
      <c r="B191" s="8">
        <v>45581</v>
      </c>
      <c r="C191" s="23" t="s">
        <v>22</v>
      </c>
      <c r="D191" s="23" t="s">
        <v>23</v>
      </c>
      <c r="E191" s="23" t="s">
        <v>24</v>
      </c>
      <c r="F191" s="28">
        <v>2024</v>
      </c>
      <c r="G191" s="23" t="s">
        <v>25</v>
      </c>
      <c r="H191" s="23" t="s">
        <v>98</v>
      </c>
      <c r="I191" s="23" t="s">
        <v>63</v>
      </c>
      <c r="J191" s="46">
        <v>28000</v>
      </c>
      <c r="K191" s="4">
        <v>9</v>
      </c>
      <c r="L191" s="5">
        <v>0</v>
      </c>
      <c r="M191" s="46">
        <v>252000</v>
      </c>
      <c r="N191" s="46">
        <v>142316</v>
      </c>
      <c r="O191" s="46">
        <v>109684</v>
      </c>
      <c r="P191" s="6">
        <v>43.53</v>
      </c>
      <c r="Q191" s="33" t="s">
        <v>28</v>
      </c>
      <c r="R191" s="33" t="s">
        <v>56</v>
      </c>
      <c r="S191" s="33" t="s">
        <v>68</v>
      </c>
      <c r="T191" s="33" t="s">
        <v>41</v>
      </c>
      <c r="U191" s="39">
        <v>2</v>
      </c>
      <c r="V191" s="9"/>
    </row>
    <row r="192" spans="1:22" x14ac:dyDescent="0.35">
      <c r="A192" s="17" t="s">
        <v>285</v>
      </c>
      <c r="B192" s="7">
        <v>44933</v>
      </c>
      <c r="C192" s="22" t="s">
        <v>53</v>
      </c>
      <c r="D192" s="22" t="s">
        <v>47</v>
      </c>
      <c r="E192" s="22" t="s">
        <v>48</v>
      </c>
      <c r="F192" s="27">
        <v>2023</v>
      </c>
      <c r="G192" s="22" t="s">
        <v>43</v>
      </c>
      <c r="H192" s="22" t="s">
        <v>59</v>
      </c>
      <c r="I192" s="22" t="s">
        <v>50</v>
      </c>
      <c r="J192" s="45">
        <v>22000</v>
      </c>
      <c r="K192" s="1">
        <v>4</v>
      </c>
      <c r="L192" s="2">
        <v>5</v>
      </c>
      <c r="M192" s="45">
        <v>83600</v>
      </c>
      <c r="N192" s="45">
        <v>56692</v>
      </c>
      <c r="O192" s="45">
        <v>26908</v>
      </c>
      <c r="P192" s="3">
        <v>32.19</v>
      </c>
      <c r="Q192" s="32" t="s">
        <v>81</v>
      </c>
      <c r="R192" s="32" t="s">
        <v>45</v>
      </c>
      <c r="S192" s="32" t="s">
        <v>85</v>
      </c>
      <c r="T192" s="32" t="s">
        <v>41</v>
      </c>
      <c r="U192" s="38">
        <v>3</v>
      </c>
      <c r="V192" s="9"/>
    </row>
    <row r="193" spans="1:22" x14ac:dyDescent="0.35">
      <c r="A193" s="18" t="s">
        <v>286</v>
      </c>
      <c r="B193" s="8">
        <v>45636</v>
      </c>
      <c r="C193" s="23" t="s">
        <v>83</v>
      </c>
      <c r="D193" s="23" t="s">
        <v>97</v>
      </c>
      <c r="E193" s="23" t="s">
        <v>24</v>
      </c>
      <c r="F193" s="28">
        <v>2024</v>
      </c>
      <c r="G193" s="23" t="s">
        <v>43</v>
      </c>
      <c r="H193" s="23" t="s">
        <v>106</v>
      </c>
      <c r="I193" s="23" t="s">
        <v>38</v>
      </c>
      <c r="J193" s="46">
        <v>12000</v>
      </c>
      <c r="K193" s="4">
        <v>2</v>
      </c>
      <c r="L193" s="5">
        <v>5</v>
      </c>
      <c r="M193" s="46">
        <v>22800</v>
      </c>
      <c r="N193" s="46">
        <v>13729</v>
      </c>
      <c r="O193" s="46">
        <v>9071</v>
      </c>
      <c r="P193" s="6">
        <v>39.79</v>
      </c>
      <c r="Q193" s="33" t="s">
        <v>51</v>
      </c>
      <c r="R193" s="33" t="s">
        <v>29</v>
      </c>
      <c r="S193" s="33" t="s">
        <v>57</v>
      </c>
      <c r="T193" s="33" t="s">
        <v>41</v>
      </c>
      <c r="U193" s="39">
        <v>3</v>
      </c>
      <c r="V193" s="9"/>
    </row>
    <row r="194" spans="1:22" x14ac:dyDescent="0.35">
      <c r="A194" s="17" t="s">
        <v>287</v>
      </c>
      <c r="B194" s="7">
        <v>45556</v>
      </c>
      <c r="C194" s="22" t="s">
        <v>53</v>
      </c>
      <c r="D194" s="22" t="s">
        <v>79</v>
      </c>
      <c r="E194" s="22" t="s">
        <v>72</v>
      </c>
      <c r="F194" s="27">
        <v>2024</v>
      </c>
      <c r="G194" s="22" t="s">
        <v>25</v>
      </c>
      <c r="H194" s="22" t="s">
        <v>37</v>
      </c>
      <c r="I194" s="22" t="s">
        <v>38</v>
      </c>
      <c r="J194" s="45">
        <v>10000</v>
      </c>
      <c r="K194" s="1">
        <v>3</v>
      </c>
      <c r="L194" s="2">
        <v>5</v>
      </c>
      <c r="M194" s="45">
        <v>28500</v>
      </c>
      <c r="N194" s="45">
        <v>16417</v>
      </c>
      <c r="O194" s="45">
        <v>12083</v>
      </c>
      <c r="P194" s="3">
        <v>42.4</v>
      </c>
      <c r="Q194" s="32" t="s">
        <v>75</v>
      </c>
      <c r="R194" s="32" t="s">
        <v>45</v>
      </c>
      <c r="S194" s="32" t="s">
        <v>40</v>
      </c>
      <c r="T194" s="32" t="s">
        <v>31</v>
      </c>
      <c r="U194" s="38">
        <v>2</v>
      </c>
      <c r="V194" s="9"/>
    </row>
    <row r="195" spans="1:22" x14ac:dyDescent="0.35">
      <c r="A195" s="18" t="s">
        <v>288</v>
      </c>
      <c r="B195" s="8">
        <v>45623</v>
      </c>
      <c r="C195" s="23" t="s">
        <v>22</v>
      </c>
      <c r="D195" s="23" t="s">
        <v>110</v>
      </c>
      <c r="E195" s="23" t="s">
        <v>24</v>
      </c>
      <c r="F195" s="28">
        <v>2024</v>
      </c>
      <c r="G195" s="23" t="s">
        <v>43</v>
      </c>
      <c r="H195" s="23" t="s">
        <v>80</v>
      </c>
      <c r="I195" s="23" t="s">
        <v>55</v>
      </c>
      <c r="J195" s="46">
        <v>25000</v>
      </c>
      <c r="K195" s="4">
        <v>9</v>
      </c>
      <c r="L195" s="5">
        <v>5</v>
      </c>
      <c r="M195" s="46">
        <v>213750</v>
      </c>
      <c r="N195" s="46">
        <v>136755</v>
      </c>
      <c r="O195" s="46">
        <v>76995</v>
      </c>
      <c r="P195" s="6">
        <v>36.020000000000003</v>
      </c>
      <c r="Q195" s="33" t="s">
        <v>81</v>
      </c>
      <c r="R195" s="33" t="s">
        <v>76</v>
      </c>
      <c r="S195" s="33" t="s">
        <v>85</v>
      </c>
      <c r="T195" s="33" t="s">
        <v>31</v>
      </c>
      <c r="U195" s="39">
        <v>5</v>
      </c>
      <c r="V195" s="9"/>
    </row>
    <row r="196" spans="1:22" x14ac:dyDescent="0.35">
      <c r="A196" s="17" t="s">
        <v>289</v>
      </c>
      <c r="B196" s="7">
        <v>45444</v>
      </c>
      <c r="C196" s="22" t="s">
        <v>53</v>
      </c>
      <c r="D196" s="22" t="s">
        <v>87</v>
      </c>
      <c r="E196" s="22" t="s">
        <v>35</v>
      </c>
      <c r="F196" s="27">
        <v>2024</v>
      </c>
      <c r="G196" s="22" t="s">
        <v>36</v>
      </c>
      <c r="H196" s="22" t="s">
        <v>66</v>
      </c>
      <c r="I196" s="22" t="s">
        <v>38</v>
      </c>
      <c r="J196" s="45">
        <v>11000</v>
      </c>
      <c r="K196" s="1">
        <v>9</v>
      </c>
      <c r="L196" s="2">
        <v>0</v>
      </c>
      <c r="M196" s="45">
        <v>99000</v>
      </c>
      <c r="N196" s="45">
        <v>57219</v>
      </c>
      <c r="O196" s="45">
        <v>41781</v>
      </c>
      <c r="P196" s="3">
        <v>42.2</v>
      </c>
      <c r="Q196" s="32" t="s">
        <v>75</v>
      </c>
      <c r="R196" s="32" t="s">
        <v>67</v>
      </c>
      <c r="S196" s="32" t="s">
        <v>30</v>
      </c>
      <c r="T196" s="32" t="s">
        <v>41</v>
      </c>
      <c r="U196" s="38">
        <v>1</v>
      </c>
      <c r="V196" s="9"/>
    </row>
    <row r="197" spans="1:22" x14ac:dyDescent="0.35">
      <c r="A197" s="18" t="s">
        <v>290</v>
      </c>
      <c r="B197" s="8">
        <v>45449</v>
      </c>
      <c r="C197" s="23" t="s">
        <v>33</v>
      </c>
      <c r="D197" s="23" t="s">
        <v>87</v>
      </c>
      <c r="E197" s="23" t="s">
        <v>35</v>
      </c>
      <c r="F197" s="28">
        <v>2024</v>
      </c>
      <c r="G197" s="23" t="s">
        <v>25</v>
      </c>
      <c r="H197" s="23" t="s">
        <v>93</v>
      </c>
      <c r="I197" s="23" t="s">
        <v>63</v>
      </c>
      <c r="J197" s="46">
        <v>14000</v>
      </c>
      <c r="K197" s="4">
        <v>8</v>
      </c>
      <c r="L197" s="5">
        <v>0</v>
      </c>
      <c r="M197" s="46">
        <v>112000</v>
      </c>
      <c r="N197" s="46">
        <v>71372</v>
      </c>
      <c r="O197" s="46">
        <v>40628</v>
      </c>
      <c r="P197" s="6">
        <v>36.270000000000003</v>
      </c>
      <c r="Q197" s="33" t="s">
        <v>51</v>
      </c>
      <c r="R197" s="33" t="s">
        <v>29</v>
      </c>
      <c r="S197" s="33" t="s">
        <v>30</v>
      </c>
      <c r="T197" s="33" t="s">
        <v>41</v>
      </c>
      <c r="U197" s="39">
        <v>1</v>
      </c>
      <c r="V197" s="9"/>
    </row>
    <row r="198" spans="1:22" x14ac:dyDescent="0.35">
      <c r="A198" s="17" t="s">
        <v>291</v>
      </c>
      <c r="B198" s="7">
        <v>45332</v>
      </c>
      <c r="C198" s="22" t="s">
        <v>53</v>
      </c>
      <c r="D198" s="22" t="s">
        <v>74</v>
      </c>
      <c r="E198" s="22" t="s">
        <v>48</v>
      </c>
      <c r="F198" s="27">
        <v>2024</v>
      </c>
      <c r="G198" s="22" t="s">
        <v>43</v>
      </c>
      <c r="H198" s="22" t="s">
        <v>117</v>
      </c>
      <c r="I198" s="22" t="s">
        <v>50</v>
      </c>
      <c r="J198" s="45">
        <v>8000</v>
      </c>
      <c r="K198" s="1">
        <v>4</v>
      </c>
      <c r="L198" s="2">
        <v>10</v>
      </c>
      <c r="M198" s="45">
        <v>28800</v>
      </c>
      <c r="N198" s="45">
        <v>16198</v>
      </c>
      <c r="O198" s="45">
        <v>12602</v>
      </c>
      <c r="P198" s="3">
        <v>43.76</v>
      </c>
      <c r="Q198" s="32" t="s">
        <v>51</v>
      </c>
      <c r="R198" s="32" t="s">
        <v>45</v>
      </c>
      <c r="S198" s="32" t="s">
        <v>30</v>
      </c>
      <c r="T198" s="32" t="s">
        <v>31</v>
      </c>
      <c r="U198" s="38">
        <v>4</v>
      </c>
      <c r="V198" s="9"/>
    </row>
    <row r="199" spans="1:22" x14ac:dyDescent="0.35">
      <c r="A199" s="18" t="s">
        <v>292</v>
      </c>
      <c r="B199" s="8">
        <v>44959</v>
      </c>
      <c r="C199" s="23" t="s">
        <v>33</v>
      </c>
      <c r="D199" s="23" t="s">
        <v>74</v>
      </c>
      <c r="E199" s="23" t="s">
        <v>48</v>
      </c>
      <c r="F199" s="28">
        <v>2023</v>
      </c>
      <c r="G199" s="23" t="s">
        <v>25</v>
      </c>
      <c r="H199" s="23" t="s">
        <v>59</v>
      </c>
      <c r="I199" s="23" t="s">
        <v>50</v>
      </c>
      <c r="J199" s="46">
        <v>22000</v>
      </c>
      <c r="K199" s="4">
        <v>3</v>
      </c>
      <c r="L199" s="5">
        <v>20</v>
      </c>
      <c r="M199" s="46">
        <v>52800</v>
      </c>
      <c r="N199" s="46">
        <v>30256</v>
      </c>
      <c r="O199" s="46">
        <v>22544</v>
      </c>
      <c r="P199" s="6">
        <v>42.7</v>
      </c>
      <c r="Q199" s="33" t="s">
        <v>51</v>
      </c>
      <c r="R199" s="33" t="s">
        <v>45</v>
      </c>
      <c r="S199" s="33" t="s">
        <v>40</v>
      </c>
      <c r="T199" s="33" t="s">
        <v>41</v>
      </c>
      <c r="U199" s="39">
        <v>4</v>
      </c>
      <c r="V199" s="9"/>
    </row>
    <row r="200" spans="1:22" x14ac:dyDescent="0.35">
      <c r="A200" s="17" t="s">
        <v>293</v>
      </c>
      <c r="B200" s="7">
        <v>45009</v>
      </c>
      <c r="C200" s="22" t="s">
        <v>78</v>
      </c>
      <c r="D200" s="22" t="s">
        <v>65</v>
      </c>
      <c r="E200" s="22" t="s">
        <v>48</v>
      </c>
      <c r="F200" s="27">
        <v>2023</v>
      </c>
      <c r="G200" s="22" t="s">
        <v>36</v>
      </c>
      <c r="H200" s="22" t="s">
        <v>186</v>
      </c>
      <c r="I200" s="22" t="s">
        <v>55</v>
      </c>
      <c r="J200" s="45">
        <v>20000</v>
      </c>
      <c r="K200" s="1">
        <v>6</v>
      </c>
      <c r="L200" s="2">
        <v>0</v>
      </c>
      <c r="M200" s="45">
        <v>120000</v>
      </c>
      <c r="N200" s="45">
        <v>69641</v>
      </c>
      <c r="O200" s="45">
        <v>50359</v>
      </c>
      <c r="P200" s="3">
        <v>41.97</v>
      </c>
      <c r="Q200" s="32" t="s">
        <v>75</v>
      </c>
      <c r="R200" s="32" t="s">
        <v>67</v>
      </c>
      <c r="S200" s="32" t="s">
        <v>85</v>
      </c>
      <c r="T200" s="32" t="s">
        <v>31</v>
      </c>
      <c r="U200" s="38">
        <v>1</v>
      </c>
      <c r="V200" s="9"/>
    </row>
    <row r="201" spans="1:22" x14ac:dyDescent="0.35">
      <c r="A201" s="18" t="s">
        <v>294</v>
      </c>
      <c r="B201" s="8">
        <v>44950</v>
      </c>
      <c r="C201" s="23" t="s">
        <v>83</v>
      </c>
      <c r="D201" s="23" t="s">
        <v>47</v>
      </c>
      <c r="E201" s="23" t="s">
        <v>48</v>
      </c>
      <c r="F201" s="28">
        <v>2023</v>
      </c>
      <c r="G201" s="23" t="s">
        <v>61</v>
      </c>
      <c r="H201" s="23" t="s">
        <v>59</v>
      </c>
      <c r="I201" s="23" t="s">
        <v>50</v>
      </c>
      <c r="J201" s="46">
        <v>22000</v>
      </c>
      <c r="K201" s="4">
        <v>9</v>
      </c>
      <c r="L201" s="5">
        <v>5</v>
      </c>
      <c r="M201" s="46">
        <v>188100</v>
      </c>
      <c r="N201" s="46">
        <v>120465</v>
      </c>
      <c r="O201" s="46">
        <v>67635</v>
      </c>
      <c r="P201" s="6">
        <v>35.96</v>
      </c>
      <c r="Q201" s="33" t="s">
        <v>39</v>
      </c>
      <c r="R201" s="33" t="s">
        <v>56</v>
      </c>
      <c r="S201" s="33" t="s">
        <v>40</v>
      </c>
      <c r="T201" s="33" t="s">
        <v>31</v>
      </c>
      <c r="U201" s="39">
        <v>3</v>
      </c>
      <c r="V201" s="9"/>
    </row>
    <row r="202" spans="1:22" x14ac:dyDescent="0.35">
      <c r="A202" s="17" t="s">
        <v>295</v>
      </c>
      <c r="B202" s="7">
        <v>45120</v>
      </c>
      <c r="C202" s="22" t="s">
        <v>33</v>
      </c>
      <c r="D202" s="22" t="s">
        <v>71</v>
      </c>
      <c r="E202" s="22" t="s">
        <v>72</v>
      </c>
      <c r="F202" s="27">
        <v>2023</v>
      </c>
      <c r="G202" s="22" t="s">
        <v>43</v>
      </c>
      <c r="H202" s="22" t="s">
        <v>26</v>
      </c>
      <c r="I202" s="22" t="s">
        <v>27</v>
      </c>
      <c r="J202" s="45">
        <v>5000</v>
      </c>
      <c r="K202" s="1">
        <v>7</v>
      </c>
      <c r="L202" s="2">
        <v>10</v>
      </c>
      <c r="M202" s="45">
        <v>31500</v>
      </c>
      <c r="N202" s="45">
        <v>21427</v>
      </c>
      <c r="O202" s="45">
        <v>10073</v>
      </c>
      <c r="P202" s="3">
        <v>31.98</v>
      </c>
      <c r="Q202" s="32" t="s">
        <v>28</v>
      </c>
      <c r="R202" s="32" t="s">
        <v>56</v>
      </c>
      <c r="S202" s="32" t="s">
        <v>68</v>
      </c>
      <c r="T202" s="32" t="s">
        <v>31</v>
      </c>
      <c r="U202" s="38">
        <v>5</v>
      </c>
      <c r="V202" s="9"/>
    </row>
    <row r="203" spans="1:22" x14ac:dyDescent="0.35">
      <c r="A203" s="18" t="s">
        <v>296</v>
      </c>
      <c r="B203" s="8">
        <v>44961</v>
      </c>
      <c r="C203" s="23" t="s">
        <v>53</v>
      </c>
      <c r="D203" s="23" t="s">
        <v>74</v>
      </c>
      <c r="E203" s="23" t="s">
        <v>48</v>
      </c>
      <c r="F203" s="28">
        <v>2023</v>
      </c>
      <c r="G203" s="23" t="s">
        <v>36</v>
      </c>
      <c r="H203" s="23" t="s">
        <v>119</v>
      </c>
      <c r="I203" s="23" t="s">
        <v>63</v>
      </c>
      <c r="J203" s="46">
        <v>16000</v>
      </c>
      <c r="K203" s="4">
        <v>1</v>
      </c>
      <c r="L203" s="5">
        <v>0</v>
      </c>
      <c r="M203" s="46">
        <v>16000</v>
      </c>
      <c r="N203" s="46">
        <v>10814</v>
      </c>
      <c r="O203" s="46">
        <v>5186</v>
      </c>
      <c r="P203" s="6">
        <v>32.409999999999997</v>
      </c>
      <c r="Q203" s="33" t="s">
        <v>51</v>
      </c>
      <c r="R203" s="33" t="s">
        <v>67</v>
      </c>
      <c r="S203" s="33" t="s">
        <v>68</v>
      </c>
      <c r="T203" s="33" t="s">
        <v>31</v>
      </c>
      <c r="U203" s="39">
        <v>2</v>
      </c>
      <c r="V203" s="9"/>
    </row>
    <row r="204" spans="1:22" x14ac:dyDescent="0.35">
      <c r="A204" s="17" t="s">
        <v>297</v>
      </c>
      <c r="B204" s="7">
        <v>45442</v>
      </c>
      <c r="C204" s="22" t="s">
        <v>33</v>
      </c>
      <c r="D204" s="22" t="s">
        <v>116</v>
      </c>
      <c r="E204" s="22" t="s">
        <v>35</v>
      </c>
      <c r="F204" s="27">
        <v>2024</v>
      </c>
      <c r="G204" s="22" t="s">
        <v>36</v>
      </c>
      <c r="H204" s="22" t="s">
        <v>104</v>
      </c>
      <c r="I204" s="22" t="s">
        <v>50</v>
      </c>
      <c r="J204" s="45">
        <v>15000</v>
      </c>
      <c r="K204" s="1">
        <v>10</v>
      </c>
      <c r="L204" s="2">
        <v>0</v>
      </c>
      <c r="M204" s="45">
        <v>150000</v>
      </c>
      <c r="N204" s="45">
        <v>97226</v>
      </c>
      <c r="O204" s="45">
        <v>52774</v>
      </c>
      <c r="P204" s="3">
        <v>35.18</v>
      </c>
      <c r="Q204" s="32" t="s">
        <v>81</v>
      </c>
      <c r="R204" s="32" t="s">
        <v>56</v>
      </c>
      <c r="S204" s="32" t="s">
        <v>57</v>
      </c>
      <c r="T204" s="32" t="s">
        <v>31</v>
      </c>
      <c r="U204" s="38">
        <v>4</v>
      </c>
      <c r="V204" s="9"/>
    </row>
    <row r="205" spans="1:22" x14ac:dyDescent="0.35">
      <c r="A205" s="18" t="s">
        <v>298</v>
      </c>
      <c r="B205" s="8">
        <v>45234</v>
      </c>
      <c r="C205" s="23" t="s">
        <v>53</v>
      </c>
      <c r="D205" s="23" t="s">
        <v>110</v>
      </c>
      <c r="E205" s="23" t="s">
        <v>24</v>
      </c>
      <c r="F205" s="28">
        <v>2023</v>
      </c>
      <c r="G205" s="23" t="s">
        <v>25</v>
      </c>
      <c r="H205" s="23" t="s">
        <v>117</v>
      </c>
      <c r="I205" s="23" t="s">
        <v>50</v>
      </c>
      <c r="J205" s="46">
        <v>8000</v>
      </c>
      <c r="K205" s="4">
        <v>9</v>
      </c>
      <c r="L205" s="5">
        <v>10</v>
      </c>
      <c r="M205" s="46">
        <v>64800</v>
      </c>
      <c r="N205" s="46">
        <v>45331</v>
      </c>
      <c r="O205" s="46">
        <v>19469</v>
      </c>
      <c r="P205" s="6">
        <v>30.04</v>
      </c>
      <c r="Q205" s="33" t="s">
        <v>39</v>
      </c>
      <c r="R205" s="33" t="s">
        <v>67</v>
      </c>
      <c r="S205" s="33" t="s">
        <v>85</v>
      </c>
      <c r="T205" s="33" t="s">
        <v>31</v>
      </c>
      <c r="U205" s="39">
        <v>3</v>
      </c>
      <c r="V205" s="9"/>
    </row>
    <row r="206" spans="1:22" x14ac:dyDescent="0.35">
      <c r="A206" s="17" t="s">
        <v>299</v>
      </c>
      <c r="B206" s="7">
        <v>45585</v>
      </c>
      <c r="C206" s="22" t="s">
        <v>70</v>
      </c>
      <c r="D206" s="22" t="s">
        <v>23</v>
      </c>
      <c r="E206" s="22" t="s">
        <v>24</v>
      </c>
      <c r="F206" s="27">
        <v>2024</v>
      </c>
      <c r="G206" s="22" t="s">
        <v>36</v>
      </c>
      <c r="H206" s="22" t="s">
        <v>119</v>
      </c>
      <c r="I206" s="22" t="s">
        <v>63</v>
      </c>
      <c r="J206" s="45">
        <v>16000</v>
      </c>
      <c r="K206" s="1">
        <v>6</v>
      </c>
      <c r="L206" s="2">
        <v>15</v>
      </c>
      <c r="M206" s="45">
        <v>81600</v>
      </c>
      <c r="N206" s="45">
        <v>50655</v>
      </c>
      <c r="O206" s="45">
        <v>30945</v>
      </c>
      <c r="P206" s="3">
        <v>37.92</v>
      </c>
      <c r="Q206" s="32" t="s">
        <v>39</v>
      </c>
      <c r="R206" s="32" t="s">
        <v>45</v>
      </c>
      <c r="S206" s="32" t="s">
        <v>40</v>
      </c>
      <c r="T206" s="32" t="s">
        <v>41</v>
      </c>
      <c r="U206" s="38">
        <v>2</v>
      </c>
      <c r="V206" s="9"/>
    </row>
    <row r="207" spans="1:22" x14ac:dyDescent="0.35">
      <c r="A207" s="18" t="s">
        <v>300</v>
      </c>
      <c r="B207" s="8">
        <v>45157</v>
      </c>
      <c r="C207" s="23" t="s">
        <v>53</v>
      </c>
      <c r="D207" s="23" t="s">
        <v>108</v>
      </c>
      <c r="E207" s="23" t="s">
        <v>72</v>
      </c>
      <c r="F207" s="28">
        <v>2023</v>
      </c>
      <c r="G207" s="23" t="s">
        <v>36</v>
      </c>
      <c r="H207" s="23" t="s">
        <v>104</v>
      </c>
      <c r="I207" s="23" t="s">
        <v>50</v>
      </c>
      <c r="J207" s="46">
        <v>15000</v>
      </c>
      <c r="K207" s="4">
        <v>8</v>
      </c>
      <c r="L207" s="5">
        <v>0</v>
      </c>
      <c r="M207" s="46">
        <v>120000</v>
      </c>
      <c r="N207" s="46">
        <v>77473</v>
      </c>
      <c r="O207" s="46">
        <v>42527</v>
      </c>
      <c r="P207" s="6">
        <v>35.44</v>
      </c>
      <c r="Q207" s="33" t="s">
        <v>51</v>
      </c>
      <c r="R207" s="33" t="s">
        <v>29</v>
      </c>
      <c r="S207" s="33" t="s">
        <v>85</v>
      </c>
      <c r="T207" s="33" t="s">
        <v>41</v>
      </c>
      <c r="U207" s="39">
        <v>2</v>
      </c>
      <c r="V207" s="9"/>
    </row>
    <row r="208" spans="1:22" x14ac:dyDescent="0.35">
      <c r="A208" s="17" t="s">
        <v>301</v>
      </c>
      <c r="B208" s="7">
        <v>45188</v>
      </c>
      <c r="C208" s="22" t="s">
        <v>83</v>
      </c>
      <c r="D208" s="22" t="s">
        <v>79</v>
      </c>
      <c r="E208" s="22" t="s">
        <v>72</v>
      </c>
      <c r="F208" s="27">
        <v>2023</v>
      </c>
      <c r="G208" s="22" t="s">
        <v>43</v>
      </c>
      <c r="H208" s="22" t="s">
        <v>123</v>
      </c>
      <c r="I208" s="22" t="s">
        <v>38</v>
      </c>
      <c r="J208" s="45">
        <v>14000</v>
      </c>
      <c r="K208" s="1">
        <v>2</v>
      </c>
      <c r="L208" s="2">
        <v>5</v>
      </c>
      <c r="M208" s="45">
        <v>26600</v>
      </c>
      <c r="N208" s="45">
        <v>18461</v>
      </c>
      <c r="O208" s="45">
        <v>8139</v>
      </c>
      <c r="P208" s="3">
        <v>30.6</v>
      </c>
      <c r="Q208" s="32" t="s">
        <v>28</v>
      </c>
      <c r="R208" s="32" t="s">
        <v>29</v>
      </c>
      <c r="S208" s="32" t="s">
        <v>68</v>
      </c>
      <c r="T208" s="32" t="s">
        <v>41</v>
      </c>
      <c r="U208" s="38">
        <v>4</v>
      </c>
      <c r="V208" s="9"/>
    </row>
    <row r="209" spans="1:22" x14ac:dyDescent="0.35">
      <c r="A209" s="18" t="s">
        <v>302</v>
      </c>
      <c r="B209" s="8">
        <v>45616</v>
      </c>
      <c r="C209" s="23" t="s">
        <v>22</v>
      </c>
      <c r="D209" s="23" t="s">
        <v>110</v>
      </c>
      <c r="E209" s="23" t="s">
        <v>24</v>
      </c>
      <c r="F209" s="28">
        <v>2024</v>
      </c>
      <c r="G209" s="23" t="s">
        <v>25</v>
      </c>
      <c r="H209" s="23" t="s">
        <v>88</v>
      </c>
      <c r="I209" s="23" t="s">
        <v>55</v>
      </c>
      <c r="J209" s="46">
        <v>8000</v>
      </c>
      <c r="K209" s="4">
        <v>1</v>
      </c>
      <c r="L209" s="5">
        <v>20</v>
      </c>
      <c r="M209" s="46">
        <v>6400</v>
      </c>
      <c r="N209" s="46">
        <v>3599</v>
      </c>
      <c r="O209" s="46">
        <v>2801</v>
      </c>
      <c r="P209" s="6">
        <v>43.77</v>
      </c>
      <c r="Q209" s="33" t="s">
        <v>75</v>
      </c>
      <c r="R209" s="33" t="s">
        <v>29</v>
      </c>
      <c r="S209" s="33" t="s">
        <v>68</v>
      </c>
      <c r="T209" s="33" t="s">
        <v>31</v>
      </c>
      <c r="U209" s="39">
        <v>3</v>
      </c>
      <c r="V209" s="9"/>
    </row>
    <row r="210" spans="1:22" x14ac:dyDescent="0.35">
      <c r="A210" s="17" t="s">
        <v>303</v>
      </c>
      <c r="B210" s="7">
        <v>45237</v>
      </c>
      <c r="C210" s="22" t="s">
        <v>83</v>
      </c>
      <c r="D210" s="22" t="s">
        <v>110</v>
      </c>
      <c r="E210" s="22" t="s">
        <v>24</v>
      </c>
      <c r="F210" s="27">
        <v>2023</v>
      </c>
      <c r="G210" s="22" t="s">
        <v>36</v>
      </c>
      <c r="H210" s="22" t="s">
        <v>44</v>
      </c>
      <c r="I210" s="22" t="s">
        <v>27</v>
      </c>
      <c r="J210" s="45">
        <v>6000</v>
      </c>
      <c r="K210" s="1">
        <v>4</v>
      </c>
      <c r="L210" s="2">
        <v>15</v>
      </c>
      <c r="M210" s="45">
        <v>20400</v>
      </c>
      <c r="N210" s="45">
        <v>11627</v>
      </c>
      <c r="O210" s="45">
        <v>8773</v>
      </c>
      <c r="P210" s="3">
        <v>43</v>
      </c>
      <c r="Q210" s="32" t="s">
        <v>51</v>
      </c>
      <c r="R210" s="32" t="s">
        <v>56</v>
      </c>
      <c r="S210" s="32" t="s">
        <v>85</v>
      </c>
      <c r="T210" s="32" t="s">
        <v>41</v>
      </c>
      <c r="U210" s="38">
        <v>2</v>
      </c>
      <c r="V210" s="9"/>
    </row>
    <row r="211" spans="1:22" x14ac:dyDescent="0.35">
      <c r="A211" s="18" t="s">
        <v>304</v>
      </c>
      <c r="B211" s="8">
        <v>45492</v>
      </c>
      <c r="C211" s="23" t="s">
        <v>78</v>
      </c>
      <c r="D211" s="23" t="s">
        <v>71</v>
      </c>
      <c r="E211" s="23" t="s">
        <v>72</v>
      </c>
      <c r="F211" s="28">
        <v>2024</v>
      </c>
      <c r="G211" s="23" t="s">
        <v>61</v>
      </c>
      <c r="H211" s="23" t="s">
        <v>145</v>
      </c>
      <c r="I211" s="23" t="s">
        <v>50</v>
      </c>
      <c r="J211" s="46">
        <v>12000</v>
      </c>
      <c r="K211" s="4">
        <v>7</v>
      </c>
      <c r="L211" s="5">
        <v>5</v>
      </c>
      <c r="M211" s="46">
        <v>79800</v>
      </c>
      <c r="N211" s="46">
        <v>51129</v>
      </c>
      <c r="O211" s="46">
        <v>28671</v>
      </c>
      <c r="P211" s="6">
        <v>35.93</v>
      </c>
      <c r="Q211" s="33" t="s">
        <v>81</v>
      </c>
      <c r="R211" s="33" t="s">
        <v>45</v>
      </c>
      <c r="S211" s="33" t="s">
        <v>57</v>
      </c>
      <c r="T211" s="33" t="s">
        <v>41</v>
      </c>
      <c r="U211" s="39">
        <v>4</v>
      </c>
      <c r="V211" s="9"/>
    </row>
    <row r="212" spans="1:22" x14ac:dyDescent="0.35">
      <c r="A212" s="17" t="s">
        <v>305</v>
      </c>
      <c r="B212" s="7">
        <v>45027</v>
      </c>
      <c r="C212" s="22" t="s">
        <v>83</v>
      </c>
      <c r="D212" s="22" t="s">
        <v>34</v>
      </c>
      <c r="E212" s="22" t="s">
        <v>35</v>
      </c>
      <c r="F212" s="27">
        <v>2023</v>
      </c>
      <c r="G212" s="22" t="s">
        <v>36</v>
      </c>
      <c r="H212" s="22" t="s">
        <v>62</v>
      </c>
      <c r="I212" s="22" t="s">
        <v>63</v>
      </c>
      <c r="J212" s="45">
        <v>5000</v>
      </c>
      <c r="K212" s="1">
        <v>4</v>
      </c>
      <c r="L212" s="2">
        <v>0</v>
      </c>
      <c r="M212" s="45">
        <v>20000</v>
      </c>
      <c r="N212" s="45">
        <v>12064</v>
      </c>
      <c r="O212" s="45">
        <v>7936</v>
      </c>
      <c r="P212" s="3">
        <v>39.68</v>
      </c>
      <c r="Q212" s="32" t="s">
        <v>28</v>
      </c>
      <c r="R212" s="32" t="s">
        <v>29</v>
      </c>
      <c r="S212" s="32" t="s">
        <v>68</v>
      </c>
      <c r="T212" s="32" t="s">
        <v>31</v>
      </c>
      <c r="U212" s="38">
        <v>3</v>
      </c>
      <c r="V212" s="9"/>
    </row>
    <row r="213" spans="1:22" x14ac:dyDescent="0.35">
      <c r="A213" s="18" t="s">
        <v>306</v>
      </c>
      <c r="B213" s="8">
        <v>45493</v>
      </c>
      <c r="C213" s="23" t="s">
        <v>53</v>
      </c>
      <c r="D213" s="23" t="s">
        <v>71</v>
      </c>
      <c r="E213" s="23" t="s">
        <v>72</v>
      </c>
      <c r="F213" s="28">
        <v>2024</v>
      </c>
      <c r="G213" s="23" t="s">
        <v>36</v>
      </c>
      <c r="H213" s="23" t="s">
        <v>88</v>
      </c>
      <c r="I213" s="23" t="s">
        <v>55</v>
      </c>
      <c r="J213" s="46">
        <v>8000</v>
      </c>
      <c r="K213" s="4">
        <v>7</v>
      </c>
      <c r="L213" s="5">
        <v>0</v>
      </c>
      <c r="M213" s="46">
        <v>56000</v>
      </c>
      <c r="N213" s="46">
        <v>32251</v>
      </c>
      <c r="O213" s="46">
        <v>23749</v>
      </c>
      <c r="P213" s="6">
        <v>42.41</v>
      </c>
      <c r="Q213" s="33" t="s">
        <v>81</v>
      </c>
      <c r="R213" s="33" t="s">
        <v>56</v>
      </c>
      <c r="S213" s="33" t="s">
        <v>40</v>
      </c>
      <c r="T213" s="33" t="s">
        <v>41</v>
      </c>
      <c r="U213" s="39">
        <v>5</v>
      </c>
      <c r="V213" s="9"/>
    </row>
    <row r="214" spans="1:22" x14ac:dyDescent="0.35">
      <c r="A214" s="17" t="s">
        <v>307</v>
      </c>
      <c r="B214" s="7">
        <v>45597</v>
      </c>
      <c r="C214" s="22" t="s">
        <v>78</v>
      </c>
      <c r="D214" s="22" t="s">
        <v>110</v>
      </c>
      <c r="E214" s="22" t="s">
        <v>24</v>
      </c>
      <c r="F214" s="27">
        <v>2024</v>
      </c>
      <c r="G214" s="22" t="s">
        <v>61</v>
      </c>
      <c r="H214" s="22" t="s">
        <v>145</v>
      </c>
      <c r="I214" s="22" t="s">
        <v>50</v>
      </c>
      <c r="J214" s="45">
        <v>12000</v>
      </c>
      <c r="K214" s="1">
        <v>8</v>
      </c>
      <c r="L214" s="2">
        <v>15</v>
      </c>
      <c r="M214" s="45">
        <v>81600</v>
      </c>
      <c r="N214" s="45">
        <v>53782</v>
      </c>
      <c r="O214" s="45">
        <v>27818</v>
      </c>
      <c r="P214" s="3">
        <v>34.090000000000003</v>
      </c>
      <c r="Q214" s="32" t="s">
        <v>51</v>
      </c>
      <c r="R214" s="32" t="s">
        <v>67</v>
      </c>
      <c r="S214" s="32" t="s">
        <v>68</v>
      </c>
      <c r="T214" s="32" t="s">
        <v>31</v>
      </c>
      <c r="U214" s="38">
        <v>2</v>
      </c>
      <c r="V214" s="9"/>
    </row>
    <row r="215" spans="1:22" x14ac:dyDescent="0.35">
      <c r="A215" s="18" t="s">
        <v>308</v>
      </c>
      <c r="B215" s="8">
        <v>45486</v>
      </c>
      <c r="C215" s="23" t="s">
        <v>53</v>
      </c>
      <c r="D215" s="23" t="s">
        <v>71</v>
      </c>
      <c r="E215" s="23" t="s">
        <v>72</v>
      </c>
      <c r="F215" s="28">
        <v>2024</v>
      </c>
      <c r="G215" s="23" t="s">
        <v>43</v>
      </c>
      <c r="H215" s="23" t="s">
        <v>131</v>
      </c>
      <c r="I215" s="23" t="s">
        <v>63</v>
      </c>
      <c r="J215" s="46">
        <v>10000</v>
      </c>
      <c r="K215" s="4">
        <v>9</v>
      </c>
      <c r="L215" s="5">
        <v>15</v>
      </c>
      <c r="M215" s="46">
        <v>76500</v>
      </c>
      <c r="N215" s="46">
        <v>54524</v>
      </c>
      <c r="O215" s="46">
        <v>21976</v>
      </c>
      <c r="P215" s="6">
        <v>28.73</v>
      </c>
      <c r="Q215" s="33" t="s">
        <v>75</v>
      </c>
      <c r="R215" s="33" t="s">
        <v>76</v>
      </c>
      <c r="S215" s="33" t="s">
        <v>30</v>
      </c>
      <c r="T215" s="33" t="s">
        <v>31</v>
      </c>
      <c r="U215" s="39">
        <v>4</v>
      </c>
      <c r="V215" s="9"/>
    </row>
    <row r="216" spans="1:22" x14ac:dyDescent="0.35">
      <c r="A216" s="17" t="s">
        <v>309</v>
      </c>
      <c r="B216" s="7">
        <v>45067</v>
      </c>
      <c r="C216" s="22" t="s">
        <v>70</v>
      </c>
      <c r="D216" s="22" t="s">
        <v>116</v>
      </c>
      <c r="E216" s="22" t="s">
        <v>35</v>
      </c>
      <c r="F216" s="27">
        <v>2023</v>
      </c>
      <c r="G216" s="22" t="s">
        <v>25</v>
      </c>
      <c r="H216" s="22" t="s">
        <v>106</v>
      </c>
      <c r="I216" s="22" t="s">
        <v>38</v>
      </c>
      <c r="J216" s="45">
        <v>12000</v>
      </c>
      <c r="K216" s="1">
        <v>3</v>
      </c>
      <c r="L216" s="2">
        <v>0</v>
      </c>
      <c r="M216" s="45">
        <v>36000</v>
      </c>
      <c r="N216" s="45">
        <v>21139</v>
      </c>
      <c r="O216" s="45">
        <v>14861</v>
      </c>
      <c r="P216" s="3">
        <v>41.28</v>
      </c>
      <c r="Q216" s="32" t="s">
        <v>51</v>
      </c>
      <c r="R216" s="32" t="s">
        <v>45</v>
      </c>
      <c r="S216" s="32" t="s">
        <v>30</v>
      </c>
      <c r="T216" s="32" t="s">
        <v>41</v>
      </c>
      <c r="U216" s="38">
        <v>1</v>
      </c>
      <c r="V216" s="9"/>
    </row>
    <row r="217" spans="1:22" x14ac:dyDescent="0.35">
      <c r="A217" s="18" t="s">
        <v>310</v>
      </c>
      <c r="B217" s="8">
        <v>44933</v>
      </c>
      <c r="C217" s="23" t="s">
        <v>53</v>
      </c>
      <c r="D217" s="23" t="s">
        <v>47</v>
      </c>
      <c r="E217" s="23" t="s">
        <v>48</v>
      </c>
      <c r="F217" s="28">
        <v>2023</v>
      </c>
      <c r="G217" s="23" t="s">
        <v>43</v>
      </c>
      <c r="H217" s="23" t="s">
        <v>88</v>
      </c>
      <c r="I217" s="23" t="s">
        <v>55</v>
      </c>
      <c r="J217" s="46">
        <v>8000</v>
      </c>
      <c r="K217" s="4">
        <v>7</v>
      </c>
      <c r="L217" s="5">
        <v>0</v>
      </c>
      <c r="M217" s="46">
        <v>56000</v>
      </c>
      <c r="N217" s="46">
        <v>30959</v>
      </c>
      <c r="O217" s="46">
        <v>25041</v>
      </c>
      <c r="P217" s="6">
        <v>44.72</v>
      </c>
      <c r="Q217" s="33" t="s">
        <v>81</v>
      </c>
      <c r="R217" s="33" t="s">
        <v>29</v>
      </c>
      <c r="S217" s="33" t="s">
        <v>57</v>
      </c>
      <c r="T217" s="33" t="s">
        <v>41</v>
      </c>
      <c r="U217" s="39">
        <v>2</v>
      </c>
      <c r="V217" s="9"/>
    </row>
    <row r="218" spans="1:22" x14ac:dyDescent="0.35">
      <c r="A218" s="17" t="s">
        <v>311</v>
      </c>
      <c r="B218" s="7">
        <v>45036</v>
      </c>
      <c r="C218" s="22" t="s">
        <v>33</v>
      </c>
      <c r="D218" s="22" t="s">
        <v>34</v>
      </c>
      <c r="E218" s="22" t="s">
        <v>35</v>
      </c>
      <c r="F218" s="27">
        <v>2023</v>
      </c>
      <c r="G218" s="22" t="s">
        <v>61</v>
      </c>
      <c r="H218" s="22" t="s">
        <v>101</v>
      </c>
      <c r="I218" s="22" t="s">
        <v>27</v>
      </c>
      <c r="J218" s="45">
        <v>9000</v>
      </c>
      <c r="K218" s="1">
        <v>3</v>
      </c>
      <c r="L218" s="2">
        <v>0</v>
      </c>
      <c r="M218" s="45">
        <v>27000</v>
      </c>
      <c r="N218" s="45">
        <v>15731</v>
      </c>
      <c r="O218" s="45">
        <v>11269</v>
      </c>
      <c r="P218" s="3">
        <v>41.74</v>
      </c>
      <c r="Q218" s="32" t="s">
        <v>75</v>
      </c>
      <c r="R218" s="32" t="s">
        <v>45</v>
      </c>
      <c r="S218" s="32" t="s">
        <v>57</v>
      </c>
      <c r="T218" s="32" t="s">
        <v>41</v>
      </c>
      <c r="U218" s="38">
        <v>1</v>
      </c>
      <c r="V218" s="9"/>
    </row>
    <row r="219" spans="1:22" x14ac:dyDescent="0.35">
      <c r="A219" s="18" t="s">
        <v>312</v>
      </c>
      <c r="B219" s="8">
        <v>45309</v>
      </c>
      <c r="C219" s="23" t="s">
        <v>33</v>
      </c>
      <c r="D219" s="23" t="s">
        <v>47</v>
      </c>
      <c r="E219" s="23" t="s">
        <v>48</v>
      </c>
      <c r="F219" s="28">
        <v>2024</v>
      </c>
      <c r="G219" s="23" t="s">
        <v>43</v>
      </c>
      <c r="H219" s="23" t="s">
        <v>98</v>
      </c>
      <c r="I219" s="23" t="s">
        <v>63</v>
      </c>
      <c r="J219" s="46">
        <v>28000</v>
      </c>
      <c r="K219" s="4">
        <v>10</v>
      </c>
      <c r="L219" s="5">
        <v>0</v>
      </c>
      <c r="M219" s="46">
        <v>280000</v>
      </c>
      <c r="N219" s="46">
        <v>201135</v>
      </c>
      <c r="O219" s="46">
        <v>78865</v>
      </c>
      <c r="P219" s="6">
        <v>28.17</v>
      </c>
      <c r="Q219" s="33" t="s">
        <v>39</v>
      </c>
      <c r="R219" s="33" t="s">
        <v>45</v>
      </c>
      <c r="S219" s="33" t="s">
        <v>30</v>
      </c>
      <c r="T219" s="33" t="s">
        <v>31</v>
      </c>
      <c r="U219" s="39">
        <v>4</v>
      </c>
      <c r="V219" s="9"/>
    </row>
    <row r="220" spans="1:22" x14ac:dyDescent="0.35">
      <c r="A220" s="17" t="s">
        <v>313</v>
      </c>
      <c r="B220" s="7">
        <v>45315</v>
      </c>
      <c r="C220" s="22" t="s">
        <v>22</v>
      </c>
      <c r="D220" s="22" t="s">
        <v>47</v>
      </c>
      <c r="E220" s="22" t="s">
        <v>48</v>
      </c>
      <c r="F220" s="27">
        <v>2024</v>
      </c>
      <c r="G220" s="22" t="s">
        <v>25</v>
      </c>
      <c r="H220" s="22" t="s">
        <v>119</v>
      </c>
      <c r="I220" s="22" t="s">
        <v>63</v>
      </c>
      <c r="J220" s="45">
        <v>16000</v>
      </c>
      <c r="K220" s="1">
        <v>8</v>
      </c>
      <c r="L220" s="2">
        <v>0</v>
      </c>
      <c r="M220" s="45">
        <v>128000</v>
      </c>
      <c r="N220" s="45">
        <v>84256</v>
      </c>
      <c r="O220" s="45">
        <v>43744</v>
      </c>
      <c r="P220" s="3">
        <v>34.17</v>
      </c>
      <c r="Q220" s="32" t="s">
        <v>39</v>
      </c>
      <c r="R220" s="32" t="s">
        <v>76</v>
      </c>
      <c r="S220" s="32" t="s">
        <v>40</v>
      </c>
      <c r="T220" s="32" t="s">
        <v>41</v>
      </c>
      <c r="U220" s="38">
        <v>5</v>
      </c>
      <c r="V220" s="9"/>
    </row>
    <row r="221" spans="1:22" x14ac:dyDescent="0.35">
      <c r="A221" s="18" t="s">
        <v>314</v>
      </c>
      <c r="B221" s="8">
        <v>45024</v>
      </c>
      <c r="C221" s="23" t="s">
        <v>53</v>
      </c>
      <c r="D221" s="23" t="s">
        <v>34</v>
      </c>
      <c r="E221" s="23" t="s">
        <v>35</v>
      </c>
      <c r="F221" s="28">
        <v>2023</v>
      </c>
      <c r="G221" s="23" t="s">
        <v>43</v>
      </c>
      <c r="H221" s="23" t="s">
        <v>80</v>
      </c>
      <c r="I221" s="23" t="s">
        <v>55</v>
      </c>
      <c r="J221" s="46">
        <v>25000</v>
      </c>
      <c r="K221" s="4">
        <v>4</v>
      </c>
      <c r="L221" s="5">
        <v>0</v>
      </c>
      <c r="M221" s="46">
        <v>100000</v>
      </c>
      <c r="N221" s="46">
        <v>70322</v>
      </c>
      <c r="O221" s="46">
        <v>29678</v>
      </c>
      <c r="P221" s="6">
        <v>29.68</v>
      </c>
      <c r="Q221" s="33" t="s">
        <v>75</v>
      </c>
      <c r="R221" s="33" t="s">
        <v>67</v>
      </c>
      <c r="S221" s="33" t="s">
        <v>57</v>
      </c>
      <c r="T221" s="33" t="s">
        <v>31</v>
      </c>
      <c r="U221" s="39">
        <v>3</v>
      </c>
      <c r="V221" s="9"/>
    </row>
    <row r="222" spans="1:22" x14ac:dyDescent="0.35">
      <c r="A222" s="17" t="s">
        <v>315</v>
      </c>
      <c r="B222" s="7">
        <v>45483</v>
      </c>
      <c r="C222" s="22" t="s">
        <v>22</v>
      </c>
      <c r="D222" s="22" t="s">
        <v>71</v>
      </c>
      <c r="E222" s="22" t="s">
        <v>72</v>
      </c>
      <c r="F222" s="27">
        <v>2024</v>
      </c>
      <c r="G222" s="22" t="s">
        <v>25</v>
      </c>
      <c r="H222" s="22" t="s">
        <v>80</v>
      </c>
      <c r="I222" s="22" t="s">
        <v>55</v>
      </c>
      <c r="J222" s="45">
        <v>25000</v>
      </c>
      <c r="K222" s="1">
        <v>3</v>
      </c>
      <c r="L222" s="2">
        <v>20</v>
      </c>
      <c r="M222" s="45">
        <v>60000</v>
      </c>
      <c r="N222" s="45">
        <v>36208</v>
      </c>
      <c r="O222" s="45">
        <v>23792</v>
      </c>
      <c r="P222" s="3">
        <v>39.65</v>
      </c>
      <c r="Q222" s="32" t="s">
        <v>39</v>
      </c>
      <c r="R222" s="32" t="s">
        <v>29</v>
      </c>
      <c r="S222" s="32" t="s">
        <v>68</v>
      </c>
      <c r="T222" s="32" t="s">
        <v>31</v>
      </c>
      <c r="U222" s="38">
        <v>3</v>
      </c>
      <c r="V222" s="9"/>
    </row>
    <row r="223" spans="1:22" x14ac:dyDescent="0.35">
      <c r="A223" s="18" t="s">
        <v>316</v>
      </c>
      <c r="B223" s="8">
        <v>45093</v>
      </c>
      <c r="C223" s="23" t="s">
        <v>78</v>
      </c>
      <c r="D223" s="23" t="s">
        <v>87</v>
      </c>
      <c r="E223" s="23" t="s">
        <v>35</v>
      </c>
      <c r="F223" s="28">
        <v>2023</v>
      </c>
      <c r="G223" s="23" t="s">
        <v>36</v>
      </c>
      <c r="H223" s="23" t="s">
        <v>186</v>
      </c>
      <c r="I223" s="23" t="s">
        <v>55</v>
      </c>
      <c r="J223" s="46">
        <v>20000</v>
      </c>
      <c r="K223" s="4">
        <v>10</v>
      </c>
      <c r="L223" s="5">
        <v>20</v>
      </c>
      <c r="M223" s="46">
        <v>160000</v>
      </c>
      <c r="N223" s="46">
        <v>111105</v>
      </c>
      <c r="O223" s="46">
        <v>48895</v>
      </c>
      <c r="P223" s="6">
        <v>30.56</v>
      </c>
      <c r="Q223" s="33" t="s">
        <v>75</v>
      </c>
      <c r="R223" s="33" t="s">
        <v>45</v>
      </c>
      <c r="S223" s="33" t="s">
        <v>40</v>
      </c>
      <c r="T223" s="33" t="s">
        <v>31</v>
      </c>
      <c r="U223" s="39">
        <v>5</v>
      </c>
      <c r="V223" s="9"/>
    </row>
    <row r="224" spans="1:22" x14ac:dyDescent="0.35">
      <c r="A224" s="17" t="s">
        <v>317</v>
      </c>
      <c r="B224" s="7">
        <v>45281</v>
      </c>
      <c r="C224" s="22" t="s">
        <v>33</v>
      </c>
      <c r="D224" s="22" t="s">
        <v>97</v>
      </c>
      <c r="E224" s="22" t="s">
        <v>24</v>
      </c>
      <c r="F224" s="27">
        <v>2023</v>
      </c>
      <c r="G224" s="22" t="s">
        <v>25</v>
      </c>
      <c r="H224" s="22" t="s">
        <v>26</v>
      </c>
      <c r="I224" s="22" t="s">
        <v>27</v>
      </c>
      <c r="J224" s="45">
        <v>5000</v>
      </c>
      <c r="K224" s="1">
        <v>7</v>
      </c>
      <c r="L224" s="2">
        <v>0</v>
      </c>
      <c r="M224" s="45">
        <v>35000</v>
      </c>
      <c r="N224" s="45">
        <v>24240</v>
      </c>
      <c r="O224" s="45">
        <v>10760</v>
      </c>
      <c r="P224" s="3">
        <v>30.74</v>
      </c>
      <c r="Q224" s="32" t="s">
        <v>81</v>
      </c>
      <c r="R224" s="32" t="s">
        <v>29</v>
      </c>
      <c r="S224" s="32" t="s">
        <v>85</v>
      </c>
      <c r="T224" s="32" t="s">
        <v>41</v>
      </c>
      <c r="U224" s="38">
        <v>1</v>
      </c>
      <c r="V224" s="9"/>
    </row>
    <row r="225" spans="1:22" x14ac:dyDescent="0.35">
      <c r="A225" s="18" t="s">
        <v>318</v>
      </c>
      <c r="B225" s="8">
        <v>45576</v>
      </c>
      <c r="C225" s="23" t="s">
        <v>78</v>
      </c>
      <c r="D225" s="23" t="s">
        <v>23</v>
      </c>
      <c r="E225" s="23" t="s">
        <v>24</v>
      </c>
      <c r="F225" s="28">
        <v>2024</v>
      </c>
      <c r="G225" s="23" t="s">
        <v>25</v>
      </c>
      <c r="H225" s="23" t="s">
        <v>59</v>
      </c>
      <c r="I225" s="23" t="s">
        <v>50</v>
      </c>
      <c r="J225" s="46">
        <v>22000</v>
      </c>
      <c r="K225" s="4">
        <v>8</v>
      </c>
      <c r="L225" s="5">
        <v>0</v>
      </c>
      <c r="M225" s="46">
        <v>176000</v>
      </c>
      <c r="N225" s="46">
        <v>107446</v>
      </c>
      <c r="O225" s="46">
        <v>68554</v>
      </c>
      <c r="P225" s="6">
        <v>38.950000000000003</v>
      </c>
      <c r="Q225" s="33" t="s">
        <v>51</v>
      </c>
      <c r="R225" s="33" t="s">
        <v>67</v>
      </c>
      <c r="S225" s="33" t="s">
        <v>68</v>
      </c>
      <c r="T225" s="33" t="s">
        <v>31</v>
      </c>
      <c r="U225" s="39">
        <v>5</v>
      </c>
      <c r="V225" s="9"/>
    </row>
    <row r="226" spans="1:22" x14ac:dyDescent="0.35">
      <c r="A226" s="17" t="s">
        <v>319</v>
      </c>
      <c r="B226" s="7">
        <v>45229</v>
      </c>
      <c r="C226" s="22" t="s">
        <v>90</v>
      </c>
      <c r="D226" s="22" t="s">
        <v>23</v>
      </c>
      <c r="E226" s="22" t="s">
        <v>24</v>
      </c>
      <c r="F226" s="27">
        <v>2023</v>
      </c>
      <c r="G226" s="22" t="s">
        <v>61</v>
      </c>
      <c r="H226" s="22" t="s">
        <v>106</v>
      </c>
      <c r="I226" s="22" t="s">
        <v>38</v>
      </c>
      <c r="J226" s="45">
        <v>12000</v>
      </c>
      <c r="K226" s="1">
        <v>2</v>
      </c>
      <c r="L226" s="2">
        <v>0</v>
      </c>
      <c r="M226" s="45">
        <v>24000</v>
      </c>
      <c r="N226" s="45">
        <v>13829</v>
      </c>
      <c r="O226" s="45">
        <v>10171</v>
      </c>
      <c r="P226" s="3">
        <v>42.38</v>
      </c>
      <c r="Q226" s="32" t="s">
        <v>39</v>
      </c>
      <c r="R226" s="32" t="s">
        <v>67</v>
      </c>
      <c r="S226" s="32" t="s">
        <v>57</v>
      </c>
      <c r="T226" s="32" t="s">
        <v>31</v>
      </c>
      <c r="U226" s="38">
        <v>1</v>
      </c>
      <c r="V226" s="9"/>
    </row>
    <row r="227" spans="1:22" x14ac:dyDescent="0.35">
      <c r="A227" s="18" t="s">
        <v>320</v>
      </c>
      <c r="B227" s="8">
        <v>44932</v>
      </c>
      <c r="C227" s="23" t="s">
        <v>78</v>
      </c>
      <c r="D227" s="23" t="s">
        <v>47</v>
      </c>
      <c r="E227" s="23" t="s">
        <v>48</v>
      </c>
      <c r="F227" s="28">
        <v>2023</v>
      </c>
      <c r="G227" s="23" t="s">
        <v>25</v>
      </c>
      <c r="H227" s="23" t="s">
        <v>59</v>
      </c>
      <c r="I227" s="23" t="s">
        <v>50</v>
      </c>
      <c r="J227" s="46">
        <v>22000</v>
      </c>
      <c r="K227" s="4">
        <v>6</v>
      </c>
      <c r="L227" s="5">
        <v>20</v>
      </c>
      <c r="M227" s="46">
        <v>105600</v>
      </c>
      <c r="N227" s="46">
        <v>62923</v>
      </c>
      <c r="O227" s="46">
        <v>42677</v>
      </c>
      <c r="P227" s="6">
        <v>40.409999999999997</v>
      </c>
      <c r="Q227" s="33" t="s">
        <v>39</v>
      </c>
      <c r="R227" s="33" t="s">
        <v>76</v>
      </c>
      <c r="S227" s="33" t="s">
        <v>68</v>
      </c>
      <c r="T227" s="33" t="s">
        <v>41</v>
      </c>
      <c r="U227" s="39">
        <v>5</v>
      </c>
      <c r="V227" s="9"/>
    </row>
    <row r="228" spans="1:22" x14ac:dyDescent="0.35">
      <c r="A228" s="17" t="s">
        <v>321</v>
      </c>
      <c r="B228" s="7">
        <v>45495</v>
      </c>
      <c r="C228" s="22" t="s">
        <v>90</v>
      </c>
      <c r="D228" s="22" t="s">
        <v>71</v>
      </c>
      <c r="E228" s="22" t="s">
        <v>72</v>
      </c>
      <c r="F228" s="27">
        <v>2024</v>
      </c>
      <c r="G228" s="22" t="s">
        <v>61</v>
      </c>
      <c r="H228" s="22" t="s">
        <v>126</v>
      </c>
      <c r="I228" s="22" t="s">
        <v>55</v>
      </c>
      <c r="J228" s="45">
        <v>12000</v>
      </c>
      <c r="K228" s="1">
        <v>2</v>
      </c>
      <c r="L228" s="2">
        <v>0</v>
      </c>
      <c r="M228" s="45">
        <v>24000</v>
      </c>
      <c r="N228" s="45">
        <v>13566</v>
      </c>
      <c r="O228" s="45">
        <v>10434</v>
      </c>
      <c r="P228" s="3">
        <v>43.48</v>
      </c>
      <c r="Q228" s="32" t="s">
        <v>75</v>
      </c>
      <c r="R228" s="32" t="s">
        <v>76</v>
      </c>
      <c r="S228" s="32" t="s">
        <v>85</v>
      </c>
      <c r="T228" s="32" t="s">
        <v>41</v>
      </c>
      <c r="U228" s="38">
        <v>1</v>
      </c>
      <c r="V228" s="9"/>
    </row>
    <row r="229" spans="1:22" x14ac:dyDescent="0.35">
      <c r="A229" s="18" t="s">
        <v>322</v>
      </c>
      <c r="B229" s="8">
        <v>45225</v>
      </c>
      <c r="C229" s="23" t="s">
        <v>33</v>
      </c>
      <c r="D229" s="23" t="s">
        <v>23</v>
      </c>
      <c r="E229" s="23" t="s">
        <v>24</v>
      </c>
      <c r="F229" s="28">
        <v>2023</v>
      </c>
      <c r="G229" s="23" t="s">
        <v>36</v>
      </c>
      <c r="H229" s="23" t="s">
        <v>98</v>
      </c>
      <c r="I229" s="23" t="s">
        <v>63</v>
      </c>
      <c r="J229" s="46">
        <v>28000</v>
      </c>
      <c r="K229" s="4">
        <v>2</v>
      </c>
      <c r="L229" s="5">
        <v>15</v>
      </c>
      <c r="M229" s="46">
        <v>47600</v>
      </c>
      <c r="N229" s="46">
        <v>33472</v>
      </c>
      <c r="O229" s="46">
        <v>14128</v>
      </c>
      <c r="P229" s="6">
        <v>29.68</v>
      </c>
      <c r="Q229" s="33" t="s">
        <v>39</v>
      </c>
      <c r="R229" s="33" t="s">
        <v>29</v>
      </c>
      <c r="S229" s="33" t="s">
        <v>85</v>
      </c>
      <c r="T229" s="33" t="s">
        <v>41</v>
      </c>
      <c r="U229" s="39">
        <v>2</v>
      </c>
      <c r="V229" s="9"/>
    </row>
    <row r="230" spans="1:22" x14ac:dyDescent="0.35">
      <c r="A230" s="17" t="s">
        <v>323</v>
      </c>
      <c r="B230" s="7">
        <v>45069</v>
      </c>
      <c r="C230" s="22" t="s">
        <v>83</v>
      </c>
      <c r="D230" s="22" t="s">
        <v>116</v>
      </c>
      <c r="E230" s="22" t="s">
        <v>35</v>
      </c>
      <c r="F230" s="27">
        <v>2023</v>
      </c>
      <c r="G230" s="22" t="s">
        <v>25</v>
      </c>
      <c r="H230" s="22" t="s">
        <v>145</v>
      </c>
      <c r="I230" s="22" t="s">
        <v>50</v>
      </c>
      <c r="J230" s="45">
        <v>12000</v>
      </c>
      <c r="K230" s="1">
        <v>5</v>
      </c>
      <c r="L230" s="2">
        <v>5</v>
      </c>
      <c r="M230" s="45">
        <v>57000</v>
      </c>
      <c r="N230" s="45">
        <v>32764</v>
      </c>
      <c r="O230" s="45">
        <v>24236</v>
      </c>
      <c r="P230" s="3">
        <v>42.52</v>
      </c>
      <c r="Q230" s="32" t="s">
        <v>39</v>
      </c>
      <c r="R230" s="32" t="s">
        <v>67</v>
      </c>
      <c r="S230" s="32" t="s">
        <v>57</v>
      </c>
      <c r="T230" s="32" t="s">
        <v>41</v>
      </c>
      <c r="U230" s="38">
        <v>4</v>
      </c>
      <c r="V230" s="9"/>
    </row>
    <row r="231" spans="1:22" x14ac:dyDescent="0.35">
      <c r="A231" s="18" t="s">
        <v>324</v>
      </c>
      <c r="B231" s="8">
        <v>45005</v>
      </c>
      <c r="C231" s="23" t="s">
        <v>90</v>
      </c>
      <c r="D231" s="23" t="s">
        <v>65</v>
      </c>
      <c r="E231" s="23" t="s">
        <v>48</v>
      </c>
      <c r="F231" s="28">
        <v>2023</v>
      </c>
      <c r="G231" s="23" t="s">
        <v>25</v>
      </c>
      <c r="H231" s="23" t="s">
        <v>145</v>
      </c>
      <c r="I231" s="23" t="s">
        <v>50</v>
      </c>
      <c r="J231" s="46">
        <v>12000</v>
      </c>
      <c r="K231" s="4">
        <v>4</v>
      </c>
      <c r="L231" s="5">
        <v>15</v>
      </c>
      <c r="M231" s="46">
        <v>40800</v>
      </c>
      <c r="N231" s="46">
        <v>26775</v>
      </c>
      <c r="O231" s="46">
        <v>14025</v>
      </c>
      <c r="P231" s="6">
        <v>34.380000000000003</v>
      </c>
      <c r="Q231" s="33" t="s">
        <v>75</v>
      </c>
      <c r="R231" s="33" t="s">
        <v>29</v>
      </c>
      <c r="S231" s="33" t="s">
        <v>68</v>
      </c>
      <c r="T231" s="33" t="s">
        <v>31</v>
      </c>
      <c r="U231" s="39">
        <v>2</v>
      </c>
      <c r="V231" s="9"/>
    </row>
    <row r="232" spans="1:22" x14ac:dyDescent="0.35">
      <c r="A232" s="17" t="s">
        <v>325</v>
      </c>
      <c r="B232" s="7">
        <v>45238</v>
      </c>
      <c r="C232" s="22" t="s">
        <v>22</v>
      </c>
      <c r="D232" s="22" t="s">
        <v>110</v>
      </c>
      <c r="E232" s="22" t="s">
        <v>24</v>
      </c>
      <c r="F232" s="27">
        <v>2023</v>
      </c>
      <c r="G232" s="22" t="s">
        <v>25</v>
      </c>
      <c r="H232" s="22" t="s">
        <v>174</v>
      </c>
      <c r="I232" s="22" t="s">
        <v>27</v>
      </c>
      <c r="J232" s="45">
        <v>12000</v>
      </c>
      <c r="K232" s="1">
        <v>6</v>
      </c>
      <c r="L232" s="2">
        <v>20</v>
      </c>
      <c r="M232" s="45">
        <v>57600</v>
      </c>
      <c r="N232" s="45">
        <v>37753</v>
      </c>
      <c r="O232" s="45">
        <v>19847</v>
      </c>
      <c r="P232" s="3">
        <v>34.46</v>
      </c>
      <c r="Q232" s="32" t="s">
        <v>81</v>
      </c>
      <c r="R232" s="32" t="s">
        <v>67</v>
      </c>
      <c r="S232" s="32" t="s">
        <v>57</v>
      </c>
      <c r="T232" s="32" t="s">
        <v>31</v>
      </c>
      <c r="U232" s="38">
        <v>3</v>
      </c>
      <c r="V232" s="9"/>
    </row>
    <row r="233" spans="1:22" x14ac:dyDescent="0.35">
      <c r="A233" s="18" t="s">
        <v>326</v>
      </c>
      <c r="B233" s="8">
        <v>45255</v>
      </c>
      <c r="C233" s="23" t="s">
        <v>53</v>
      </c>
      <c r="D233" s="23" t="s">
        <v>110</v>
      </c>
      <c r="E233" s="23" t="s">
        <v>24</v>
      </c>
      <c r="F233" s="28">
        <v>2023</v>
      </c>
      <c r="G233" s="23" t="s">
        <v>25</v>
      </c>
      <c r="H233" s="23" t="s">
        <v>186</v>
      </c>
      <c r="I233" s="23" t="s">
        <v>55</v>
      </c>
      <c r="J233" s="46">
        <v>20000</v>
      </c>
      <c r="K233" s="4">
        <v>8</v>
      </c>
      <c r="L233" s="5">
        <v>0</v>
      </c>
      <c r="M233" s="46">
        <v>160000</v>
      </c>
      <c r="N233" s="46">
        <v>92832</v>
      </c>
      <c r="O233" s="46">
        <v>67168</v>
      </c>
      <c r="P233" s="6">
        <v>41.98</v>
      </c>
      <c r="Q233" s="33" t="s">
        <v>51</v>
      </c>
      <c r="R233" s="33" t="s">
        <v>45</v>
      </c>
      <c r="S233" s="33" t="s">
        <v>57</v>
      </c>
      <c r="T233" s="33" t="s">
        <v>31</v>
      </c>
      <c r="U233" s="39">
        <v>3</v>
      </c>
      <c r="V233" s="9"/>
    </row>
    <row r="234" spans="1:22" x14ac:dyDescent="0.35">
      <c r="A234" s="17" t="s">
        <v>327</v>
      </c>
      <c r="B234" s="7">
        <v>45312</v>
      </c>
      <c r="C234" s="22" t="s">
        <v>70</v>
      </c>
      <c r="D234" s="22" t="s">
        <v>47</v>
      </c>
      <c r="E234" s="22" t="s">
        <v>48</v>
      </c>
      <c r="F234" s="27">
        <v>2024</v>
      </c>
      <c r="G234" s="22" t="s">
        <v>36</v>
      </c>
      <c r="H234" s="22" t="s">
        <v>59</v>
      </c>
      <c r="I234" s="22" t="s">
        <v>50</v>
      </c>
      <c r="J234" s="45">
        <v>22000</v>
      </c>
      <c r="K234" s="1">
        <v>6</v>
      </c>
      <c r="L234" s="2">
        <v>0</v>
      </c>
      <c r="M234" s="45">
        <v>132000</v>
      </c>
      <c r="N234" s="45">
        <v>93516</v>
      </c>
      <c r="O234" s="45">
        <v>38484</v>
      </c>
      <c r="P234" s="3">
        <v>29.15</v>
      </c>
      <c r="Q234" s="32" t="s">
        <v>39</v>
      </c>
      <c r="R234" s="32" t="s">
        <v>29</v>
      </c>
      <c r="S234" s="32" t="s">
        <v>85</v>
      </c>
      <c r="T234" s="32" t="s">
        <v>31</v>
      </c>
      <c r="U234" s="38">
        <v>4</v>
      </c>
      <c r="V234" s="9"/>
    </row>
    <row r="235" spans="1:22" x14ac:dyDescent="0.35">
      <c r="A235" s="18" t="s">
        <v>328</v>
      </c>
      <c r="B235" s="8">
        <v>45652</v>
      </c>
      <c r="C235" s="23" t="s">
        <v>33</v>
      </c>
      <c r="D235" s="23" t="s">
        <v>97</v>
      </c>
      <c r="E235" s="23" t="s">
        <v>24</v>
      </c>
      <c r="F235" s="28">
        <v>2024</v>
      </c>
      <c r="G235" s="23" t="s">
        <v>61</v>
      </c>
      <c r="H235" s="23" t="s">
        <v>113</v>
      </c>
      <c r="I235" s="23" t="s">
        <v>38</v>
      </c>
      <c r="J235" s="46">
        <v>3500</v>
      </c>
      <c r="K235" s="4">
        <v>5</v>
      </c>
      <c r="L235" s="5">
        <v>20</v>
      </c>
      <c r="M235" s="46">
        <v>14000</v>
      </c>
      <c r="N235" s="46">
        <v>9349</v>
      </c>
      <c r="O235" s="46">
        <v>4651</v>
      </c>
      <c r="P235" s="6">
        <v>33.22</v>
      </c>
      <c r="Q235" s="33" t="s">
        <v>51</v>
      </c>
      <c r="R235" s="33" t="s">
        <v>67</v>
      </c>
      <c r="S235" s="33" t="s">
        <v>68</v>
      </c>
      <c r="T235" s="33" t="s">
        <v>31</v>
      </c>
      <c r="U235" s="39">
        <v>3</v>
      </c>
      <c r="V235" s="9"/>
    </row>
    <row r="236" spans="1:22" x14ac:dyDescent="0.35">
      <c r="A236" s="17" t="s">
        <v>329</v>
      </c>
      <c r="B236" s="7">
        <v>45601</v>
      </c>
      <c r="C236" s="22" t="s">
        <v>83</v>
      </c>
      <c r="D236" s="22" t="s">
        <v>110</v>
      </c>
      <c r="E236" s="22" t="s">
        <v>24</v>
      </c>
      <c r="F236" s="27">
        <v>2024</v>
      </c>
      <c r="G236" s="22" t="s">
        <v>25</v>
      </c>
      <c r="H236" s="22" t="s">
        <v>113</v>
      </c>
      <c r="I236" s="22" t="s">
        <v>38</v>
      </c>
      <c r="J236" s="45">
        <v>3500</v>
      </c>
      <c r="K236" s="1">
        <v>7</v>
      </c>
      <c r="L236" s="2">
        <v>0</v>
      </c>
      <c r="M236" s="45">
        <v>24500</v>
      </c>
      <c r="N236" s="45">
        <v>15345</v>
      </c>
      <c r="O236" s="45">
        <v>9155</v>
      </c>
      <c r="P236" s="3">
        <v>37.369999999999997</v>
      </c>
      <c r="Q236" s="32" t="s">
        <v>75</v>
      </c>
      <c r="R236" s="32" t="s">
        <v>67</v>
      </c>
      <c r="S236" s="32" t="s">
        <v>85</v>
      </c>
      <c r="T236" s="32" t="s">
        <v>41</v>
      </c>
      <c r="U236" s="38">
        <v>5</v>
      </c>
      <c r="V236" s="9"/>
    </row>
    <row r="237" spans="1:22" x14ac:dyDescent="0.35">
      <c r="A237" s="18" t="s">
        <v>330</v>
      </c>
      <c r="B237" s="8">
        <v>44964</v>
      </c>
      <c r="C237" s="23" t="s">
        <v>83</v>
      </c>
      <c r="D237" s="23" t="s">
        <v>74</v>
      </c>
      <c r="E237" s="23" t="s">
        <v>48</v>
      </c>
      <c r="F237" s="28">
        <v>2023</v>
      </c>
      <c r="G237" s="23" t="s">
        <v>36</v>
      </c>
      <c r="H237" s="23" t="s">
        <v>49</v>
      </c>
      <c r="I237" s="23" t="s">
        <v>50</v>
      </c>
      <c r="J237" s="46">
        <v>18000</v>
      </c>
      <c r="K237" s="4">
        <v>10</v>
      </c>
      <c r="L237" s="5">
        <v>15</v>
      </c>
      <c r="M237" s="46">
        <v>153000</v>
      </c>
      <c r="N237" s="46">
        <v>107934</v>
      </c>
      <c r="O237" s="46">
        <v>45066</v>
      </c>
      <c r="P237" s="6">
        <v>29.45</v>
      </c>
      <c r="Q237" s="33" t="s">
        <v>28</v>
      </c>
      <c r="R237" s="33" t="s">
        <v>56</v>
      </c>
      <c r="S237" s="33" t="s">
        <v>57</v>
      </c>
      <c r="T237" s="33" t="s">
        <v>31</v>
      </c>
      <c r="U237" s="39">
        <v>5</v>
      </c>
      <c r="V237" s="9"/>
    </row>
    <row r="238" spans="1:22" x14ac:dyDescent="0.35">
      <c r="A238" s="17" t="s">
        <v>331</v>
      </c>
      <c r="B238" s="7">
        <v>45587</v>
      </c>
      <c r="C238" s="22" t="s">
        <v>83</v>
      </c>
      <c r="D238" s="22" t="s">
        <v>23</v>
      </c>
      <c r="E238" s="22" t="s">
        <v>24</v>
      </c>
      <c r="F238" s="27">
        <v>2024</v>
      </c>
      <c r="G238" s="22" t="s">
        <v>36</v>
      </c>
      <c r="H238" s="22" t="s">
        <v>62</v>
      </c>
      <c r="I238" s="22" t="s">
        <v>63</v>
      </c>
      <c r="J238" s="45">
        <v>5000</v>
      </c>
      <c r="K238" s="1">
        <v>7</v>
      </c>
      <c r="L238" s="2">
        <v>0</v>
      </c>
      <c r="M238" s="45">
        <v>35000</v>
      </c>
      <c r="N238" s="45">
        <v>19313</v>
      </c>
      <c r="O238" s="45">
        <v>15687</v>
      </c>
      <c r="P238" s="3">
        <v>44.82</v>
      </c>
      <c r="Q238" s="32" t="s">
        <v>81</v>
      </c>
      <c r="R238" s="32" t="s">
        <v>56</v>
      </c>
      <c r="S238" s="32" t="s">
        <v>85</v>
      </c>
      <c r="T238" s="32" t="s">
        <v>41</v>
      </c>
      <c r="U238" s="38">
        <v>3</v>
      </c>
      <c r="V238" s="9"/>
    </row>
    <row r="239" spans="1:22" x14ac:dyDescent="0.35">
      <c r="A239" s="18" t="s">
        <v>332</v>
      </c>
      <c r="B239" s="8">
        <v>45327</v>
      </c>
      <c r="C239" s="23" t="s">
        <v>90</v>
      </c>
      <c r="D239" s="23" t="s">
        <v>74</v>
      </c>
      <c r="E239" s="23" t="s">
        <v>48</v>
      </c>
      <c r="F239" s="28">
        <v>2024</v>
      </c>
      <c r="G239" s="23" t="s">
        <v>61</v>
      </c>
      <c r="H239" s="23" t="s">
        <v>119</v>
      </c>
      <c r="I239" s="23" t="s">
        <v>63</v>
      </c>
      <c r="J239" s="46">
        <v>16000</v>
      </c>
      <c r="K239" s="4">
        <v>9</v>
      </c>
      <c r="L239" s="5">
        <v>0</v>
      </c>
      <c r="M239" s="46">
        <v>144000</v>
      </c>
      <c r="N239" s="46">
        <v>87645</v>
      </c>
      <c r="O239" s="46">
        <v>56355</v>
      </c>
      <c r="P239" s="6">
        <v>39.14</v>
      </c>
      <c r="Q239" s="33" t="s">
        <v>28</v>
      </c>
      <c r="R239" s="33" t="s">
        <v>67</v>
      </c>
      <c r="S239" s="33" t="s">
        <v>30</v>
      </c>
      <c r="T239" s="33" t="s">
        <v>41</v>
      </c>
      <c r="U239" s="39">
        <v>1</v>
      </c>
      <c r="V239" s="9"/>
    </row>
    <row r="240" spans="1:22" x14ac:dyDescent="0.35">
      <c r="A240" s="17" t="s">
        <v>333</v>
      </c>
      <c r="B240" s="7">
        <v>45045</v>
      </c>
      <c r="C240" s="22" t="s">
        <v>53</v>
      </c>
      <c r="D240" s="22" t="s">
        <v>34</v>
      </c>
      <c r="E240" s="22" t="s">
        <v>35</v>
      </c>
      <c r="F240" s="27">
        <v>2023</v>
      </c>
      <c r="G240" s="22" t="s">
        <v>61</v>
      </c>
      <c r="H240" s="22" t="s">
        <v>123</v>
      </c>
      <c r="I240" s="22" t="s">
        <v>38</v>
      </c>
      <c r="J240" s="45">
        <v>14000</v>
      </c>
      <c r="K240" s="1">
        <v>5</v>
      </c>
      <c r="L240" s="2">
        <v>0</v>
      </c>
      <c r="M240" s="45">
        <v>70000</v>
      </c>
      <c r="N240" s="45">
        <v>43918</v>
      </c>
      <c r="O240" s="45">
        <v>26082</v>
      </c>
      <c r="P240" s="3">
        <v>37.26</v>
      </c>
      <c r="Q240" s="32" t="s">
        <v>39</v>
      </c>
      <c r="R240" s="32" t="s">
        <v>29</v>
      </c>
      <c r="S240" s="32" t="s">
        <v>40</v>
      </c>
      <c r="T240" s="32" t="s">
        <v>41</v>
      </c>
      <c r="U240" s="38">
        <v>1</v>
      </c>
      <c r="V240" s="9"/>
    </row>
    <row r="241" spans="1:22" x14ac:dyDescent="0.35">
      <c r="A241" s="18" t="s">
        <v>334</v>
      </c>
      <c r="B241" s="8">
        <v>45375</v>
      </c>
      <c r="C241" s="23" t="s">
        <v>70</v>
      </c>
      <c r="D241" s="23" t="s">
        <v>65</v>
      </c>
      <c r="E241" s="23" t="s">
        <v>48</v>
      </c>
      <c r="F241" s="28">
        <v>2024</v>
      </c>
      <c r="G241" s="23" t="s">
        <v>43</v>
      </c>
      <c r="H241" s="23" t="s">
        <v>62</v>
      </c>
      <c r="I241" s="23" t="s">
        <v>63</v>
      </c>
      <c r="J241" s="46">
        <v>5000</v>
      </c>
      <c r="K241" s="4">
        <v>2</v>
      </c>
      <c r="L241" s="5">
        <v>0</v>
      </c>
      <c r="M241" s="46">
        <v>10000</v>
      </c>
      <c r="N241" s="46">
        <v>5576</v>
      </c>
      <c r="O241" s="46">
        <v>4424</v>
      </c>
      <c r="P241" s="6">
        <v>44.24</v>
      </c>
      <c r="Q241" s="33" t="s">
        <v>28</v>
      </c>
      <c r="R241" s="33" t="s">
        <v>76</v>
      </c>
      <c r="S241" s="33" t="s">
        <v>57</v>
      </c>
      <c r="T241" s="33" t="s">
        <v>31</v>
      </c>
      <c r="U241" s="39">
        <v>2</v>
      </c>
      <c r="V241" s="9"/>
    </row>
    <row r="242" spans="1:22" x14ac:dyDescent="0.35">
      <c r="A242" s="17" t="s">
        <v>335</v>
      </c>
      <c r="B242" s="7">
        <v>45455</v>
      </c>
      <c r="C242" s="22" t="s">
        <v>22</v>
      </c>
      <c r="D242" s="22" t="s">
        <v>87</v>
      </c>
      <c r="E242" s="22" t="s">
        <v>35</v>
      </c>
      <c r="F242" s="27">
        <v>2024</v>
      </c>
      <c r="G242" s="22" t="s">
        <v>36</v>
      </c>
      <c r="H242" s="22" t="s">
        <v>66</v>
      </c>
      <c r="I242" s="22" t="s">
        <v>38</v>
      </c>
      <c r="J242" s="45">
        <v>11000</v>
      </c>
      <c r="K242" s="1">
        <v>3</v>
      </c>
      <c r="L242" s="2">
        <v>0</v>
      </c>
      <c r="M242" s="45">
        <v>33000</v>
      </c>
      <c r="N242" s="45">
        <v>21291</v>
      </c>
      <c r="O242" s="45">
        <v>11709</v>
      </c>
      <c r="P242" s="3">
        <v>35.479999999999997</v>
      </c>
      <c r="Q242" s="32" t="s">
        <v>51</v>
      </c>
      <c r="R242" s="32" t="s">
        <v>56</v>
      </c>
      <c r="S242" s="32" t="s">
        <v>40</v>
      </c>
      <c r="T242" s="32" t="s">
        <v>31</v>
      </c>
      <c r="U242" s="38">
        <v>4</v>
      </c>
      <c r="V242" s="9"/>
    </row>
    <row r="243" spans="1:22" x14ac:dyDescent="0.35">
      <c r="A243" s="18" t="s">
        <v>336</v>
      </c>
      <c r="B243" s="8">
        <v>45332</v>
      </c>
      <c r="C243" s="23" t="s">
        <v>53</v>
      </c>
      <c r="D243" s="23" t="s">
        <v>74</v>
      </c>
      <c r="E243" s="23" t="s">
        <v>48</v>
      </c>
      <c r="F243" s="28">
        <v>2024</v>
      </c>
      <c r="G243" s="23" t="s">
        <v>36</v>
      </c>
      <c r="H243" s="23" t="s">
        <v>101</v>
      </c>
      <c r="I243" s="23" t="s">
        <v>27</v>
      </c>
      <c r="J243" s="46">
        <v>9000</v>
      </c>
      <c r="K243" s="4">
        <v>4</v>
      </c>
      <c r="L243" s="5">
        <v>5</v>
      </c>
      <c r="M243" s="46">
        <v>34200</v>
      </c>
      <c r="N243" s="46">
        <v>22253</v>
      </c>
      <c r="O243" s="46">
        <v>11947</v>
      </c>
      <c r="P243" s="6">
        <v>34.93</v>
      </c>
      <c r="Q243" s="33" t="s">
        <v>51</v>
      </c>
      <c r="R243" s="33" t="s">
        <v>76</v>
      </c>
      <c r="S243" s="33" t="s">
        <v>68</v>
      </c>
      <c r="T243" s="33" t="s">
        <v>41</v>
      </c>
      <c r="U243" s="39">
        <v>1</v>
      </c>
      <c r="V243" s="9"/>
    </row>
    <row r="244" spans="1:22" x14ac:dyDescent="0.35">
      <c r="A244" s="17" t="s">
        <v>337</v>
      </c>
      <c r="B244" s="7">
        <v>45518</v>
      </c>
      <c r="C244" s="22" t="s">
        <v>22</v>
      </c>
      <c r="D244" s="22" t="s">
        <v>108</v>
      </c>
      <c r="E244" s="22" t="s">
        <v>72</v>
      </c>
      <c r="F244" s="27">
        <v>2024</v>
      </c>
      <c r="G244" s="22" t="s">
        <v>25</v>
      </c>
      <c r="H244" s="22" t="s">
        <v>101</v>
      </c>
      <c r="I244" s="22" t="s">
        <v>27</v>
      </c>
      <c r="J244" s="45">
        <v>9000</v>
      </c>
      <c r="K244" s="1">
        <v>3</v>
      </c>
      <c r="L244" s="2">
        <v>0</v>
      </c>
      <c r="M244" s="45">
        <v>27000</v>
      </c>
      <c r="N244" s="45">
        <v>16346</v>
      </c>
      <c r="O244" s="45">
        <v>10654</v>
      </c>
      <c r="P244" s="3">
        <v>39.46</v>
      </c>
      <c r="Q244" s="32" t="s">
        <v>51</v>
      </c>
      <c r="R244" s="32" t="s">
        <v>76</v>
      </c>
      <c r="S244" s="32" t="s">
        <v>57</v>
      </c>
      <c r="T244" s="32" t="s">
        <v>41</v>
      </c>
      <c r="U244" s="38">
        <v>5</v>
      </c>
      <c r="V244" s="9"/>
    </row>
    <row r="245" spans="1:22" x14ac:dyDescent="0.35">
      <c r="A245" s="18" t="s">
        <v>338</v>
      </c>
      <c r="B245" s="8">
        <v>45324</v>
      </c>
      <c r="C245" s="23" t="s">
        <v>78</v>
      </c>
      <c r="D245" s="23" t="s">
        <v>74</v>
      </c>
      <c r="E245" s="23" t="s">
        <v>48</v>
      </c>
      <c r="F245" s="28">
        <v>2024</v>
      </c>
      <c r="G245" s="23" t="s">
        <v>61</v>
      </c>
      <c r="H245" s="23" t="s">
        <v>126</v>
      </c>
      <c r="I245" s="23" t="s">
        <v>55</v>
      </c>
      <c r="J245" s="46">
        <v>12000</v>
      </c>
      <c r="K245" s="4">
        <v>10</v>
      </c>
      <c r="L245" s="5">
        <v>0</v>
      </c>
      <c r="M245" s="46">
        <v>120000</v>
      </c>
      <c r="N245" s="46">
        <v>73098</v>
      </c>
      <c r="O245" s="46">
        <v>46902</v>
      </c>
      <c r="P245" s="6">
        <v>39.090000000000003</v>
      </c>
      <c r="Q245" s="33" t="s">
        <v>51</v>
      </c>
      <c r="R245" s="33" t="s">
        <v>29</v>
      </c>
      <c r="S245" s="33" t="s">
        <v>68</v>
      </c>
      <c r="T245" s="33" t="s">
        <v>31</v>
      </c>
      <c r="U245" s="39">
        <v>2</v>
      </c>
      <c r="V245" s="9"/>
    </row>
    <row r="246" spans="1:22" x14ac:dyDescent="0.35">
      <c r="A246" s="17" t="s">
        <v>339</v>
      </c>
      <c r="B246" s="7">
        <v>45247</v>
      </c>
      <c r="C246" s="22" t="s">
        <v>78</v>
      </c>
      <c r="D246" s="22" t="s">
        <v>110</v>
      </c>
      <c r="E246" s="22" t="s">
        <v>24</v>
      </c>
      <c r="F246" s="27">
        <v>2023</v>
      </c>
      <c r="G246" s="22" t="s">
        <v>25</v>
      </c>
      <c r="H246" s="22" t="s">
        <v>44</v>
      </c>
      <c r="I246" s="22" t="s">
        <v>27</v>
      </c>
      <c r="J246" s="45">
        <v>6000</v>
      </c>
      <c r="K246" s="1">
        <v>5</v>
      </c>
      <c r="L246" s="2">
        <v>0</v>
      </c>
      <c r="M246" s="45">
        <v>30000</v>
      </c>
      <c r="N246" s="45">
        <v>17434</v>
      </c>
      <c r="O246" s="45">
        <v>12566</v>
      </c>
      <c r="P246" s="3">
        <v>41.89</v>
      </c>
      <c r="Q246" s="32" t="s">
        <v>39</v>
      </c>
      <c r="R246" s="32" t="s">
        <v>29</v>
      </c>
      <c r="S246" s="32" t="s">
        <v>40</v>
      </c>
      <c r="T246" s="32" t="s">
        <v>31</v>
      </c>
      <c r="U246" s="38">
        <v>5</v>
      </c>
      <c r="V246" s="9"/>
    </row>
    <row r="247" spans="1:22" x14ac:dyDescent="0.35">
      <c r="A247" s="18" t="s">
        <v>340</v>
      </c>
      <c r="B247" s="8">
        <v>45319</v>
      </c>
      <c r="C247" s="23" t="s">
        <v>70</v>
      </c>
      <c r="D247" s="23" t="s">
        <v>47</v>
      </c>
      <c r="E247" s="23" t="s">
        <v>48</v>
      </c>
      <c r="F247" s="28">
        <v>2024</v>
      </c>
      <c r="G247" s="23" t="s">
        <v>25</v>
      </c>
      <c r="H247" s="23" t="s">
        <v>131</v>
      </c>
      <c r="I247" s="23" t="s">
        <v>63</v>
      </c>
      <c r="J247" s="46">
        <v>10000</v>
      </c>
      <c r="K247" s="4">
        <v>8</v>
      </c>
      <c r="L247" s="5">
        <v>15</v>
      </c>
      <c r="M247" s="46">
        <v>68000</v>
      </c>
      <c r="N247" s="46">
        <v>43612</v>
      </c>
      <c r="O247" s="46">
        <v>24388</v>
      </c>
      <c r="P247" s="6">
        <v>35.86</v>
      </c>
      <c r="Q247" s="33" t="s">
        <v>39</v>
      </c>
      <c r="R247" s="33" t="s">
        <v>29</v>
      </c>
      <c r="S247" s="33" t="s">
        <v>68</v>
      </c>
      <c r="T247" s="33" t="s">
        <v>41</v>
      </c>
      <c r="U247" s="39">
        <v>2</v>
      </c>
      <c r="V247" s="9"/>
    </row>
    <row r="248" spans="1:22" x14ac:dyDescent="0.35">
      <c r="A248" s="17" t="s">
        <v>341</v>
      </c>
      <c r="B248" s="7">
        <v>45118</v>
      </c>
      <c r="C248" s="22" t="s">
        <v>83</v>
      </c>
      <c r="D248" s="22" t="s">
        <v>71</v>
      </c>
      <c r="E248" s="22" t="s">
        <v>72</v>
      </c>
      <c r="F248" s="27">
        <v>2023</v>
      </c>
      <c r="G248" s="22" t="s">
        <v>36</v>
      </c>
      <c r="H248" s="22" t="s">
        <v>59</v>
      </c>
      <c r="I248" s="22" t="s">
        <v>50</v>
      </c>
      <c r="J248" s="45">
        <v>22000</v>
      </c>
      <c r="K248" s="1">
        <v>10</v>
      </c>
      <c r="L248" s="2">
        <v>0</v>
      </c>
      <c r="M248" s="45">
        <v>220000</v>
      </c>
      <c r="N248" s="45">
        <v>153371</v>
      </c>
      <c r="O248" s="45">
        <v>66629</v>
      </c>
      <c r="P248" s="3">
        <v>30.29</v>
      </c>
      <c r="Q248" s="32" t="s">
        <v>28</v>
      </c>
      <c r="R248" s="32" t="s">
        <v>67</v>
      </c>
      <c r="S248" s="32" t="s">
        <v>68</v>
      </c>
      <c r="T248" s="32" t="s">
        <v>41</v>
      </c>
      <c r="U248" s="38">
        <v>5</v>
      </c>
      <c r="V248" s="9"/>
    </row>
    <row r="249" spans="1:22" x14ac:dyDescent="0.35">
      <c r="A249" s="18" t="s">
        <v>342</v>
      </c>
      <c r="B249" s="8">
        <v>45444</v>
      </c>
      <c r="C249" s="23" t="s">
        <v>53</v>
      </c>
      <c r="D249" s="23" t="s">
        <v>87</v>
      </c>
      <c r="E249" s="23" t="s">
        <v>35</v>
      </c>
      <c r="F249" s="28">
        <v>2024</v>
      </c>
      <c r="G249" s="23" t="s">
        <v>43</v>
      </c>
      <c r="H249" s="23" t="s">
        <v>98</v>
      </c>
      <c r="I249" s="23" t="s">
        <v>63</v>
      </c>
      <c r="J249" s="46">
        <v>28000</v>
      </c>
      <c r="K249" s="4">
        <v>8</v>
      </c>
      <c r="L249" s="5">
        <v>5</v>
      </c>
      <c r="M249" s="46">
        <v>212800</v>
      </c>
      <c r="N249" s="46">
        <v>142730</v>
      </c>
      <c r="O249" s="46">
        <v>70070</v>
      </c>
      <c r="P249" s="6">
        <v>32.93</v>
      </c>
      <c r="Q249" s="33" t="s">
        <v>51</v>
      </c>
      <c r="R249" s="33" t="s">
        <v>67</v>
      </c>
      <c r="S249" s="33" t="s">
        <v>68</v>
      </c>
      <c r="T249" s="33" t="s">
        <v>31</v>
      </c>
      <c r="U249" s="39">
        <v>2</v>
      </c>
      <c r="V249" s="9"/>
    </row>
    <row r="250" spans="1:22" x14ac:dyDescent="0.35">
      <c r="A250" s="17" t="s">
        <v>343</v>
      </c>
      <c r="B250" s="7">
        <v>45226</v>
      </c>
      <c r="C250" s="22" t="s">
        <v>78</v>
      </c>
      <c r="D250" s="22" t="s">
        <v>23</v>
      </c>
      <c r="E250" s="22" t="s">
        <v>24</v>
      </c>
      <c r="F250" s="27">
        <v>2023</v>
      </c>
      <c r="G250" s="22" t="s">
        <v>43</v>
      </c>
      <c r="H250" s="22" t="s">
        <v>84</v>
      </c>
      <c r="I250" s="22" t="s">
        <v>27</v>
      </c>
      <c r="J250" s="45">
        <v>8000</v>
      </c>
      <c r="K250" s="1">
        <v>4</v>
      </c>
      <c r="L250" s="2">
        <v>10</v>
      </c>
      <c r="M250" s="45">
        <v>28800</v>
      </c>
      <c r="N250" s="45">
        <v>17253</v>
      </c>
      <c r="O250" s="45">
        <v>11547</v>
      </c>
      <c r="P250" s="3">
        <v>40.090000000000003</v>
      </c>
      <c r="Q250" s="32" t="s">
        <v>51</v>
      </c>
      <c r="R250" s="32" t="s">
        <v>29</v>
      </c>
      <c r="S250" s="32" t="s">
        <v>40</v>
      </c>
      <c r="T250" s="32" t="s">
        <v>31</v>
      </c>
      <c r="U250" s="38">
        <v>3</v>
      </c>
      <c r="V250" s="9"/>
    </row>
    <row r="251" spans="1:22" x14ac:dyDescent="0.35">
      <c r="A251" s="18" t="s">
        <v>344</v>
      </c>
      <c r="B251" s="8">
        <v>45483</v>
      </c>
      <c r="C251" s="23" t="s">
        <v>22</v>
      </c>
      <c r="D251" s="23" t="s">
        <v>71</v>
      </c>
      <c r="E251" s="23" t="s">
        <v>72</v>
      </c>
      <c r="F251" s="28">
        <v>2024</v>
      </c>
      <c r="G251" s="23" t="s">
        <v>43</v>
      </c>
      <c r="H251" s="23" t="s">
        <v>49</v>
      </c>
      <c r="I251" s="23" t="s">
        <v>50</v>
      </c>
      <c r="J251" s="46">
        <v>18000</v>
      </c>
      <c r="K251" s="4">
        <v>1</v>
      </c>
      <c r="L251" s="5">
        <v>20</v>
      </c>
      <c r="M251" s="46">
        <v>14400</v>
      </c>
      <c r="N251" s="46">
        <v>9680</v>
      </c>
      <c r="O251" s="46">
        <v>4720</v>
      </c>
      <c r="P251" s="6">
        <v>32.78</v>
      </c>
      <c r="Q251" s="33" t="s">
        <v>75</v>
      </c>
      <c r="R251" s="33" t="s">
        <v>56</v>
      </c>
      <c r="S251" s="33" t="s">
        <v>40</v>
      </c>
      <c r="T251" s="33" t="s">
        <v>31</v>
      </c>
      <c r="U251" s="39">
        <v>3</v>
      </c>
      <c r="V251" s="9"/>
    </row>
    <row r="252" spans="1:22" x14ac:dyDescent="0.35">
      <c r="A252" s="17" t="s">
        <v>345</v>
      </c>
      <c r="B252" s="7">
        <v>44960</v>
      </c>
      <c r="C252" s="22" t="s">
        <v>78</v>
      </c>
      <c r="D252" s="22" t="s">
        <v>74</v>
      </c>
      <c r="E252" s="22" t="s">
        <v>48</v>
      </c>
      <c r="F252" s="27">
        <v>2023</v>
      </c>
      <c r="G252" s="22" t="s">
        <v>36</v>
      </c>
      <c r="H252" s="22" t="s">
        <v>62</v>
      </c>
      <c r="I252" s="22" t="s">
        <v>63</v>
      </c>
      <c r="J252" s="45">
        <v>5000</v>
      </c>
      <c r="K252" s="1">
        <v>6</v>
      </c>
      <c r="L252" s="2">
        <v>20</v>
      </c>
      <c r="M252" s="45">
        <v>24000</v>
      </c>
      <c r="N252" s="45">
        <v>16532</v>
      </c>
      <c r="O252" s="45">
        <v>7468</v>
      </c>
      <c r="P252" s="3">
        <v>31.12</v>
      </c>
      <c r="Q252" s="32" t="s">
        <v>51</v>
      </c>
      <c r="R252" s="32" t="s">
        <v>76</v>
      </c>
      <c r="S252" s="32" t="s">
        <v>68</v>
      </c>
      <c r="T252" s="32" t="s">
        <v>41</v>
      </c>
      <c r="U252" s="38">
        <v>5</v>
      </c>
      <c r="V252" s="9"/>
    </row>
    <row r="253" spans="1:22" x14ac:dyDescent="0.35">
      <c r="A253" s="18" t="s">
        <v>346</v>
      </c>
      <c r="B253" s="8">
        <v>45574</v>
      </c>
      <c r="C253" s="23" t="s">
        <v>22</v>
      </c>
      <c r="D253" s="23" t="s">
        <v>23</v>
      </c>
      <c r="E253" s="23" t="s">
        <v>24</v>
      </c>
      <c r="F253" s="28">
        <v>2024</v>
      </c>
      <c r="G253" s="23" t="s">
        <v>61</v>
      </c>
      <c r="H253" s="23" t="s">
        <v>131</v>
      </c>
      <c r="I253" s="23" t="s">
        <v>63</v>
      </c>
      <c r="J253" s="46">
        <v>10000</v>
      </c>
      <c r="K253" s="4">
        <v>10</v>
      </c>
      <c r="L253" s="5">
        <v>0</v>
      </c>
      <c r="M253" s="46">
        <v>100000</v>
      </c>
      <c r="N253" s="46">
        <v>68342</v>
      </c>
      <c r="O253" s="46">
        <v>31658</v>
      </c>
      <c r="P253" s="6">
        <v>31.66</v>
      </c>
      <c r="Q253" s="33" t="s">
        <v>39</v>
      </c>
      <c r="R253" s="33" t="s">
        <v>76</v>
      </c>
      <c r="S253" s="33" t="s">
        <v>85</v>
      </c>
      <c r="T253" s="33" t="s">
        <v>41</v>
      </c>
      <c r="U253" s="39">
        <v>5</v>
      </c>
      <c r="V253" s="9"/>
    </row>
    <row r="254" spans="1:22" x14ac:dyDescent="0.35">
      <c r="A254" s="17" t="s">
        <v>347</v>
      </c>
      <c r="B254" s="7">
        <v>45478</v>
      </c>
      <c r="C254" s="22" t="s">
        <v>78</v>
      </c>
      <c r="D254" s="22" t="s">
        <v>71</v>
      </c>
      <c r="E254" s="22" t="s">
        <v>72</v>
      </c>
      <c r="F254" s="27">
        <v>2024</v>
      </c>
      <c r="G254" s="22" t="s">
        <v>25</v>
      </c>
      <c r="H254" s="22" t="s">
        <v>123</v>
      </c>
      <c r="I254" s="22" t="s">
        <v>38</v>
      </c>
      <c r="J254" s="45">
        <v>14000</v>
      </c>
      <c r="K254" s="1">
        <v>5</v>
      </c>
      <c r="L254" s="2">
        <v>0</v>
      </c>
      <c r="M254" s="45">
        <v>70000</v>
      </c>
      <c r="N254" s="45">
        <v>45316</v>
      </c>
      <c r="O254" s="45">
        <v>24684</v>
      </c>
      <c r="P254" s="3">
        <v>35.26</v>
      </c>
      <c r="Q254" s="32" t="s">
        <v>75</v>
      </c>
      <c r="R254" s="32" t="s">
        <v>76</v>
      </c>
      <c r="S254" s="32" t="s">
        <v>68</v>
      </c>
      <c r="T254" s="32" t="s">
        <v>31</v>
      </c>
      <c r="U254" s="38">
        <v>3</v>
      </c>
      <c r="V254" s="9"/>
    </row>
    <row r="255" spans="1:22" x14ac:dyDescent="0.35">
      <c r="A255" s="18" t="s">
        <v>348</v>
      </c>
      <c r="B255" s="8">
        <v>45598</v>
      </c>
      <c r="C255" s="23" t="s">
        <v>53</v>
      </c>
      <c r="D255" s="23" t="s">
        <v>110</v>
      </c>
      <c r="E255" s="23" t="s">
        <v>24</v>
      </c>
      <c r="F255" s="28">
        <v>2024</v>
      </c>
      <c r="G255" s="23" t="s">
        <v>36</v>
      </c>
      <c r="H255" s="23" t="s">
        <v>37</v>
      </c>
      <c r="I255" s="23" t="s">
        <v>38</v>
      </c>
      <c r="J255" s="46">
        <v>10000</v>
      </c>
      <c r="K255" s="4">
        <v>4</v>
      </c>
      <c r="L255" s="5">
        <v>0</v>
      </c>
      <c r="M255" s="46">
        <v>40000</v>
      </c>
      <c r="N255" s="46">
        <v>26837</v>
      </c>
      <c r="O255" s="46">
        <v>13163</v>
      </c>
      <c r="P255" s="6">
        <v>32.909999999999997</v>
      </c>
      <c r="Q255" s="33" t="s">
        <v>39</v>
      </c>
      <c r="R255" s="33" t="s">
        <v>67</v>
      </c>
      <c r="S255" s="33" t="s">
        <v>40</v>
      </c>
      <c r="T255" s="33" t="s">
        <v>41</v>
      </c>
      <c r="U255" s="39">
        <v>4</v>
      </c>
      <c r="V255" s="9"/>
    </row>
    <row r="256" spans="1:22" x14ac:dyDescent="0.35">
      <c r="A256" s="17" t="s">
        <v>349</v>
      </c>
      <c r="B256" s="7">
        <v>45311</v>
      </c>
      <c r="C256" s="22" t="s">
        <v>53</v>
      </c>
      <c r="D256" s="22" t="s">
        <v>47</v>
      </c>
      <c r="E256" s="22" t="s">
        <v>48</v>
      </c>
      <c r="F256" s="27">
        <v>2024</v>
      </c>
      <c r="G256" s="22" t="s">
        <v>25</v>
      </c>
      <c r="H256" s="22" t="s">
        <v>93</v>
      </c>
      <c r="I256" s="22" t="s">
        <v>63</v>
      </c>
      <c r="J256" s="45">
        <v>14000</v>
      </c>
      <c r="K256" s="1">
        <v>2</v>
      </c>
      <c r="L256" s="2">
        <v>5</v>
      </c>
      <c r="M256" s="45">
        <v>26600</v>
      </c>
      <c r="N256" s="45">
        <v>16962</v>
      </c>
      <c r="O256" s="45">
        <v>9638</v>
      </c>
      <c r="P256" s="3">
        <v>36.229999999999997</v>
      </c>
      <c r="Q256" s="32" t="s">
        <v>81</v>
      </c>
      <c r="R256" s="32" t="s">
        <v>45</v>
      </c>
      <c r="S256" s="32" t="s">
        <v>40</v>
      </c>
      <c r="T256" s="32" t="s">
        <v>41</v>
      </c>
      <c r="U256" s="38">
        <v>5</v>
      </c>
      <c r="V256" s="9"/>
    </row>
    <row r="257" spans="1:22" x14ac:dyDescent="0.35">
      <c r="A257" s="18" t="s">
        <v>350</v>
      </c>
      <c r="B257" s="8">
        <v>44929</v>
      </c>
      <c r="C257" s="23" t="s">
        <v>83</v>
      </c>
      <c r="D257" s="23" t="s">
        <v>47</v>
      </c>
      <c r="E257" s="23" t="s">
        <v>48</v>
      </c>
      <c r="F257" s="28">
        <v>2023</v>
      </c>
      <c r="G257" s="23" t="s">
        <v>25</v>
      </c>
      <c r="H257" s="23" t="s">
        <v>174</v>
      </c>
      <c r="I257" s="23" t="s">
        <v>27</v>
      </c>
      <c r="J257" s="46">
        <v>12000</v>
      </c>
      <c r="K257" s="4">
        <v>6</v>
      </c>
      <c r="L257" s="5">
        <v>20</v>
      </c>
      <c r="M257" s="46">
        <v>57600</v>
      </c>
      <c r="N257" s="46">
        <v>32300</v>
      </c>
      <c r="O257" s="46">
        <v>25300</v>
      </c>
      <c r="P257" s="6">
        <v>43.92</v>
      </c>
      <c r="Q257" s="33" t="s">
        <v>75</v>
      </c>
      <c r="R257" s="33" t="s">
        <v>67</v>
      </c>
      <c r="S257" s="33" t="s">
        <v>68</v>
      </c>
      <c r="T257" s="33" t="s">
        <v>31</v>
      </c>
      <c r="U257" s="39">
        <v>4</v>
      </c>
      <c r="V257" s="9"/>
    </row>
    <row r="258" spans="1:22" x14ac:dyDescent="0.35">
      <c r="A258" s="17" t="s">
        <v>351</v>
      </c>
      <c r="B258" s="7">
        <v>45201</v>
      </c>
      <c r="C258" s="22" t="s">
        <v>90</v>
      </c>
      <c r="D258" s="22" t="s">
        <v>23</v>
      </c>
      <c r="E258" s="22" t="s">
        <v>24</v>
      </c>
      <c r="F258" s="27">
        <v>2023</v>
      </c>
      <c r="G258" s="22" t="s">
        <v>43</v>
      </c>
      <c r="H258" s="22" t="s">
        <v>145</v>
      </c>
      <c r="I258" s="22" t="s">
        <v>50</v>
      </c>
      <c r="J258" s="45">
        <v>12000</v>
      </c>
      <c r="K258" s="1">
        <v>6</v>
      </c>
      <c r="L258" s="2">
        <v>10</v>
      </c>
      <c r="M258" s="45">
        <v>64800</v>
      </c>
      <c r="N258" s="45">
        <v>42007</v>
      </c>
      <c r="O258" s="45">
        <v>22793</v>
      </c>
      <c r="P258" s="3">
        <v>35.17</v>
      </c>
      <c r="Q258" s="32" t="s">
        <v>75</v>
      </c>
      <c r="R258" s="32" t="s">
        <v>67</v>
      </c>
      <c r="S258" s="32" t="s">
        <v>57</v>
      </c>
      <c r="T258" s="32" t="s">
        <v>31</v>
      </c>
      <c r="U258" s="38">
        <v>1</v>
      </c>
      <c r="V258" s="9"/>
    </row>
    <row r="259" spans="1:22" x14ac:dyDescent="0.35">
      <c r="A259" s="18" t="s">
        <v>352</v>
      </c>
      <c r="B259" s="8">
        <v>45568</v>
      </c>
      <c r="C259" s="23" t="s">
        <v>33</v>
      </c>
      <c r="D259" s="23" t="s">
        <v>23</v>
      </c>
      <c r="E259" s="23" t="s">
        <v>24</v>
      </c>
      <c r="F259" s="28">
        <v>2024</v>
      </c>
      <c r="G259" s="23" t="s">
        <v>36</v>
      </c>
      <c r="H259" s="23" t="s">
        <v>93</v>
      </c>
      <c r="I259" s="23" t="s">
        <v>63</v>
      </c>
      <c r="J259" s="46">
        <v>14000</v>
      </c>
      <c r="K259" s="4">
        <v>2</v>
      </c>
      <c r="L259" s="5">
        <v>20</v>
      </c>
      <c r="M259" s="46">
        <v>22400</v>
      </c>
      <c r="N259" s="46">
        <v>12922</v>
      </c>
      <c r="O259" s="46">
        <v>9478</v>
      </c>
      <c r="P259" s="6">
        <v>42.31</v>
      </c>
      <c r="Q259" s="33" t="s">
        <v>51</v>
      </c>
      <c r="R259" s="33" t="s">
        <v>76</v>
      </c>
      <c r="S259" s="33" t="s">
        <v>40</v>
      </c>
      <c r="T259" s="33" t="s">
        <v>31</v>
      </c>
      <c r="U259" s="39">
        <v>3</v>
      </c>
      <c r="V259" s="9"/>
    </row>
    <row r="260" spans="1:22" x14ac:dyDescent="0.35">
      <c r="A260" s="17" t="s">
        <v>353</v>
      </c>
      <c r="B260" s="7">
        <v>45089</v>
      </c>
      <c r="C260" s="22" t="s">
        <v>90</v>
      </c>
      <c r="D260" s="22" t="s">
        <v>87</v>
      </c>
      <c r="E260" s="22" t="s">
        <v>35</v>
      </c>
      <c r="F260" s="27">
        <v>2023</v>
      </c>
      <c r="G260" s="22" t="s">
        <v>61</v>
      </c>
      <c r="H260" s="22" t="s">
        <v>117</v>
      </c>
      <c r="I260" s="22" t="s">
        <v>50</v>
      </c>
      <c r="J260" s="45">
        <v>8000</v>
      </c>
      <c r="K260" s="1">
        <v>6</v>
      </c>
      <c r="L260" s="2">
        <v>0</v>
      </c>
      <c r="M260" s="45">
        <v>48000</v>
      </c>
      <c r="N260" s="45">
        <v>27073</v>
      </c>
      <c r="O260" s="45">
        <v>20927</v>
      </c>
      <c r="P260" s="3">
        <v>43.6</v>
      </c>
      <c r="Q260" s="32" t="s">
        <v>39</v>
      </c>
      <c r="R260" s="32" t="s">
        <v>76</v>
      </c>
      <c r="S260" s="32" t="s">
        <v>40</v>
      </c>
      <c r="T260" s="32" t="s">
        <v>31</v>
      </c>
      <c r="U260" s="38">
        <v>4</v>
      </c>
      <c r="V260" s="9"/>
    </row>
    <row r="261" spans="1:22" x14ac:dyDescent="0.35">
      <c r="A261" s="18" t="s">
        <v>354</v>
      </c>
      <c r="B261" s="8">
        <v>45598</v>
      </c>
      <c r="C261" s="23" t="s">
        <v>53</v>
      </c>
      <c r="D261" s="23" t="s">
        <v>110</v>
      </c>
      <c r="E261" s="23" t="s">
        <v>24</v>
      </c>
      <c r="F261" s="28">
        <v>2024</v>
      </c>
      <c r="G261" s="23" t="s">
        <v>25</v>
      </c>
      <c r="H261" s="23" t="s">
        <v>26</v>
      </c>
      <c r="I261" s="23" t="s">
        <v>27</v>
      </c>
      <c r="J261" s="46">
        <v>5000</v>
      </c>
      <c r="K261" s="4">
        <v>1</v>
      </c>
      <c r="L261" s="5">
        <v>0</v>
      </c>
      <c r="M261" s="46">
        <v>5000</v>
      </c>
      <c r="N261" s="46">
        <v>3155</v>
      </c>
      <c r="O261" s="46">
        <v>1845</v>
      </c>
      <c r="P261" s="6">
        <v>36.9</v>
      </c>
      <c r="Q261" s="33" t="s">
        <v>39</v>
      </c>
      <c r="R261" s="33" t="s">
        <v>29</v>
      </c>
      <c r="S261" s="33" t="s">
        <v>68</v>
      </c>
      <c r="T261" s="33" t="s">
        <v>31</v>
      </c>
      <c r="U261" s="39">
        <v>1</v>
      </c>
      <c r="V261" s="9"/>
    </row>
    <row r="262" spans="1:22" x14ac:dyDescent="0.35">
      <c r="A262" s="17" t="s">
        <v>355</v>
      </c>
      <c r="B262" s="7">
        <v>45639</v>
      </c>
      <c r="C262" s="22" t="s">
        <v>78</v>
      </c>
      <c r="D262" s="22" t="s">
        <v>97</v>
      </c>
      <c r="E262" s="22" t="s">
        <v>24</v>
      </c>
      <c r="F262" s="27">
        <v>2024</v>
      </c>
      <c r="G262" s="22" t="s">
        <v>43</v>
      </c>
      <c r="H262" s="22" t="s">
        <v>117</v>
      </c>
      <c r="I262" s="22" t="s">
        <v>50</v>
      </c>
      <c r="J262" s="45">
        <v>8000</v>
      </c>
      <c r="K262" s="1">
        <v>7</v>
      </c>
      <c r="L262" s="2">
        <v>15</v>
      </c>
      <c r="M262" s="45">
        <v>47600</v>
      </c>
      <c r="N262" s="45">
        <v>27250</v>
      </c>
      <c r="O262" s="45">
        <v>20350</v>
      </c>
      <c r="P262" s="3">
        <v>42.75</v>
      </c>
      <c r="Q262" s="32" t="s">
        <v>28</v>
      </c>
      <c r="R262" s="32" t="s">
        <v>56</v>
      </c>
      <c r="S262" s="32" t="s">
        <v>40</v>
      </c>
      <c r="T262" s="32" t="s">
        <v>31</v>
      </c>
      <c r="U262" s="38">
        <v>1</v>
      </c>
      <c r="V262" s="9"/>
    </row>
    <row r="263" spans="1:22" x14ac:dyDescent="0.35">
      <c r="A263" s="18" t="s">
        <v>356</v>
      </c>
      <c r="B263" s="8">
        <v>45247</v>
      </c>
      <c r="C263" s="23" t="s">
        <v>78</v>
      </c>
      <c r="D263" s="23" t="s">
        <v>110</v>
      </c>
      <c r="E263" s="23" t="s">
        <v>24</v>
      </c>
      <c r="F263" s="28">
        <v>2023</v>
      </c>
      <c r="G263" s="23" t="s">
        <v>43</v>
      </c>
      <c r="H263" s="23" t="s">
        <v>145</v>
      </c>
      <c r="I263" s="23" t="s">
        <v>50</v>
      </c>
      <c r="J263" s="46">
        <v>12000</v>
      </c>
      <c r="K263" s="4">
        <v>3</v>
      </c>
      <c r="L263" s="5">
        <v>5</v>
      </c>
      <c r="M263" s="46">
        <v>34200</v>
      </c>
      <c r="N263" s="46">
        <v>23307</v>
      </c>
      <c r="O263" s="46">
        <v>10893</v>
      </c>
      <c r="P263" s="6">
        <v>31.85</v>
      </c>
      <c r="Q263" s="33" t="s">
        <v>39</v>
      </c>
      <c r="R263" s="33" t="s">
        <v>56</v>
      </c>
      <c r="S263" s="33" t="s">
        <v>30</v>
      </c>
      <c r="T263" s="33" t="s">
        <v>31</v>
      </c>
      <c r="U263" s="39">
        <v>4</v>
      </c>
      <c r="V263" s="9"/>
    </row>
    <row r="264" spans="1:22" x14ac:dyDescent="0.35">
      <c r="A264" s="17" t="s">
        <v>357</v>
      </c>
      <c r="B264" s="7">
        <v>45286</v>
      </c>
      <c r="C264" s="22" t="s">
        <v>83</v>
      </c>
      <c r="D264" s="22" t="s">
        <v>97</v>
      </c>
      <c r="E264" s="22" t="s">
        <v>24</v>
      </c>
      <c r="F264" s="27">
        <v>2023</v>
      </c>
      <c r="G264" s="22" t="s">
        <v>36</v>
      </c>
      <c r="H264" s="22" t="s">
        <v>37</v>
      </c>
      <c r="I264" s="22" t="s">
        <v>38</v>
      </c>
      <c r="J264" s="45">
        <v>10000</v>
      </c>
      <c r="K264" s="1">
        <v>7</v>
      </c>
      <c r="L264" s="2">
        <v>10</v>
      </c>
      <c r="M264" s="45">
        <v>63000</v>
      </c>
      <c r="N264" s="45">
        <v>42003</v>
      </c>
      <c r="O264" s="45">
        <v>20997</v>
      </c>
      <c r="P264" s="3">
        <v>33.33</v>
      </c>
      <c r="Q264" s="32" t="s">
        <v>39</v>
      </c>
      <c r="R264" s="32" t="s">
        <v>76</v>
      </c>
      <c r="S264" s="32" t="s">
        <v>30</v>
      </c>
      <c r="T264" s="32" t="s">
        <v>31</v>
      </c>
      <c r="U264" s="38">
        <v>5</v>
      </c>
      <c r="V264" s="9"/>
    </row>
    <row r="265" spans="1:22" x14ac:dyDescent="0.35">
      <c r="A265" s="18" t="s">
        <v>358</v>
      </c>
      <c r="B265" s="8">
        <v>45320</v>
      </c>
      <c r="C265" s="23" t="s">
        <v>90</v>
      </c>
      <c r="D265" s="23" t="s">
        <v>47</v>
      </c>
      <c r="E265" s="23" t="s">
        <v>48</v>
      </c>
      <c r="F265" s="28">
        <v>2024</v>
      </c>
      <c r="G265" s="23" t="s">
        <v>61</v>
      </c>
      <c r="H265" s="23" t="s">
        <v>59</v>
      </c>
      <c r="I265" s="23" t="s">
        <v>50</v>
      </c>
      <c r="J265" s="46">
        <v>22000</v>
      </c>
      <c r="K265" s="4">
        <v>6</v>
      </c>
      <c r="L265" s="5">
        <v>20</v>
      </c>
      <c r="M265" s="46">
        <v>105600</v>
      </c>
      <c r="N265" s="46">
        <v>60590</v>
      </c>
      <c r="O265" s="46">
        <v>45010</v>
      </c>
      <c r="P265" s="6">
        <v>42.62</v>
      </c>
      <c r="Q265" s="33" t="s">
        <v>81</v>
      </c>
      <c r="R265" s="33" t="s">
        <v>76</v>
      </c>
      <c r="S265" s="33" t="s">
        <v>68</v>
      </c>
      <c r="T265" s="33" t="s">
        <v>31</v>
      </c>
      <c r="U265" s="39">
        <v>3</v>
      </c>
      <c r="V265" s="9"/>
    </row>
    <row r="266" spans="1:22" x14ac:dyDescent="0.35">
      <c r="A266" s="17" t="s">
        <v>359</v>
      </c>
      <c r="B266" s="7">
        <v>45137</v>
      </c>
      <c r="C266" s="22" t="s">
        <v>70</v>
      </c>
      <c r="D266" s="22" t="s">
        <v>71</v>
      </c>
      <c r="E266" s="22" t="s">
        <v>72</v>
      </c>
      <c r="F266" s="27">
        <v>2023</v>
      </c>
      <c r="G266" s="22" t="s">
        <v>25</v>
      </c>
      <c r="H266" s="22" t="s">
        <v>88</v>
      </c>
      <c r="I266" s="22" t="s">
        <v>55</v>
      </c>
      <c r="J266" s="45">
        <v>8000</v>
      </c>
      <c r="K266" s="1">
        <v>9</v>
      </c>
      <c r="L266" s="2">
        <v>0</v>
      </c>
      <c r="M266" s="45">
        <v>72000</v>
      </c>
      <c r="N266" s="45">
        <v>48754</v>
      </c>
      <c r="O266" s="45">
        <v>23246</v>
      </c>
      <c r="P266" s="3">
        <v>32.29</v>
      </c>
      <c r="Q266" s="32" t="s">
        <v>81</v>
      </c>
      <c r="R266" s="32" t="s">
        <v>76</v>
      </c>
      <c r="S266" s="32" t="s">
        <v>68</v>
      </c>
      <c r="T266" s="32" t="s">
        <v>41</v>
      </c>
      <c r="U266" s="38">
        <v>1</v>
      </c>
      <c r="V266" s="9"/>
    </row>
    <row r="267" spans="1:22" x14ac:dyDescent="0.35">
      <c r="A267" s="18" t="s">
        <v>360</v>
      </c>
      <c r="B267" s="8">
        <v>45173</v>
      </c>
      <c r="C267" s="23" t="s">
        <v>90</v>
      </c>
      <c r="D267" s="23" t="s">
        <v>79</v>
      </c>
      <c r="E267" s="23" t="s">
        <v>72</v>
      </c>
      <c r="F267" s="28">
        <v>2023</v>
      </c>
      <c r="G267" s="23" t="s">
        <v>36</v>
      </c>
      <c r="H267" s="23" t="s">
        <v>119</v>
      </c>
      <c r="I267" s="23" t="s">
        <v>63</v>
      </c>
      <c r="J267" s="46">
        <v>16000</v>
      </c>
      <c r="K267" s="4">
        <v>2</v>
      </c>
      <c r="L267" s="5">
        <v>10</v>
      </c>
      <c r="M267" s="46">
        <v>28800</v>
      </c>
      <c r="N267" s="46">
        <v>20191</v>
      </c>
      <c r="O267" s="46">
        <v>8609</v>
      </c>
      <c r="P267" s="6">
        <v>29.89</v>
      </c>
      <c r="Q267" s="33" t="s">
        <v>28</v>
      </c>
      <c r="R267" s="33" t="s">
        <v>45</v>
      </c>
      <c r="S267" s="33" t="s">
        <v>57</v>
      </c>
      <c r="T267" s="33" t="s">
        <v>41</v>
      </c>
      <c r="U267" s="39">
        <v>5</v>
      </c>
      <c r="V267" s="9"/>
    </row>
    <row r="268" spans="1:22" x14ac:dyDescent="0.35">
      <c r="A268" s="17" t="s">
        <v>361</v>
      </c>
      <c r="B268" s="7">
        <v>45357</v>
      </c>
      <c r="C268" s="22" t="s">
        <v>22</v>
      </c>
      <c r="D268" s="22" t="s">
        <v>65</v>
      </c>
      <c r="E268" s="22" t="s">
        <v>48</v>
      </c>
      <c r="F268" s="27">
        <v>2024</v>
      </c>
      <c r="G268" s="22" t="s">
        <v>43</v>
      </c>
      <c r="H268" s="22" t="s">
        <v>49</v>
      </c>
      <c r="I268" s="22" t="s">
        <v>50</v>
      </c>
      <c r="J268" s="45">
        <v>18000</v>
      </c>
      <c r="K268" s="1">
        <v>3</v>
      </c>
      <c r="L268" s="2">
        <v>20</v>
      </c>
      <c r="M268" s="45">
        <v>43200</v>
      </c>
      <c r="N268" s="45">
        <v>27219</v>
      </c>
      <c r="O268" s="45">
        <v>15981</v>
      </c>
      <c r="P268" s="3">
        <v>36.99</v>
      </c>
      <c r="Q268" s="32" t="s">
        <v>28</v>
      </c>
      <c r="R268" s="32" t="s">
        <v>76</v>
      </c>
      <c r="S268" s="32" t="s">
        <v>85</v>
      </c>
      <c r="T268" s="32" t="s">
        <v>31</v>
      </c>
      <c r="U268" s="38">
        <v>3</v>
      </c>
      <c r="V268" s="9"/>
    </row>
    <row r="269" spans="1:22" x14ac:dyDescent="0.35">
      <c r="A269" s="18" t="s">
        <v>362</v>
      </c>
      <c r="B269" s="8">
        <v>45147</v>
      </c>
      <c r="C269" s="23" t="s">
        <v>22</v>
      </c>
      <c r="D269" s="23" t="s">
        <v>108</v>
      </c>
      <c r="E269" s="23" t="s">
        <v>72</v>
      </c>
      <c r="F269" s="28">
        <v>2023</v>
      </c>
      <c r="G269" s="23" t="s">
        <v>25</v>
      </c>
      <c r="H269" s="23" t="s">
        <v>26</v>
      </c>
      <c r="I269" s="23" t="s">
        <v>27</v>
      </c>
      <c r="J269" s="46">
        <v>5000</v>
      </c>
      <c r="K269" s="4">
        <v>7</v>
      </c>
      <c r="L269" s="5">
        <v>10</v>
      </c>
      <c r="M269" s="46">
        <v>31500</v>
      </c>
      <c r="N269" s="46">
        <v>18859</v>
      </c>
      <c r="O269" s="46">
        <v>12641</v>
      </c>
      <c r="P269" s="6">
        <v>40.130000000000003</v>
      </c>
      <c r="Q269" s="33" t="s">
        <v>75</v>
      </c>
      <c r="R269" s="33" t="s">
        <v>67</v>
      </c>
      <c r="S269" s="33" t="s">
        <v>40</v>
      </c>
      <c r="T269" s="33" t="s">
        <v>31</v>
      </c>
      <c r="U269" s="39">
        <v>5</v>
      </c>
      <c r="V269" s="9"/>
    </row>
    <row r="270" spans="1:22" x14ac:dyDescent="0.35">
      <c r="A270" s="17" t="s">
        <v>363</v>
      </c>
      <c r="B270" s="7">
        <v>45477</v>
      </c>
      <c r="C270" s="22" t="s">
        <v>33</v>
      </c>
      <c r="D270" s="22" t="s">
        <v>71</v>
      </c>
      <c r="E270" s="22" t="s">
        <v>72</v>
      </c>
      <c r="F270" s="27">
        <v>2024</v>
      </c>
      <c r="G270" s="22" t="s">
        <v>61</v>
      </c>
      <c r="H270" s="22" t="s">
        <v>186</v>
      </c>
      <c r="I270" s="22" t="s">
        <v>55</v>
      </c>
      <c r="J270" s="45">
        <v>20000</v>
      </c>
      <c r="K270" s="1">
        <v>5</v>
      </c>
      <c r="L270" s="2">
        <v>0</v>
      </c>
      <c r="M270" s="45">
        <v>100000</v>
      </c>
      <c r="N270" s="45">
        <v>60268</v>
      </c>
      <c r="O270" s="45">
        <v>39732</v>
      </c>
      <c r="P270" s="3">
        <v>39.729999999999997</v>
      </c>
      <c r="Q270" s="32" t="s">
        <v>75</v>
      </c>
      <c r="R270" s="32" t="s">
        <v>56</v>
      </c>
      <c r="S270" s="32" t="s">
        <v>68</v>
      </c>
      <c r="T270" s="32" t="s">
        <v>41</v>
      </c>
      <c r="U270" s="38">
        <v>5</v>
      </c>
      <c r="V270" s="9"/>
    </row>
    <row r="271" spans="1:22" x14ac:dyDescent="0.35">
      <c r="A271" s="18" t="s">
        <v>364</v>
      </c>
      <c r="B271" s="8">
        <v>45576</v>
      </c>
      <c r="C271" s="23" t="s">
        <v>78</v>
      </c>
      <c r="D271" s="23" t="s">
        <v>23</v>
      </c>
      <c r="E271" s="23" t="s">
        <v>24</v>
      </c>
      <c r="F271" s="28">
        <v>2024</v>
      </c>
      <c r="G271" s="23" t="s">
        <v>43</v>
      </c>
      <c r="H271" s="23" t="s">
        <v>84</v>
      </c>
      <c r="I271" s="23" t="s">
        <v>27</v>
      </c>
      <c r="J271" s="46">
        <v>8000</v>
      </c>
      <c r="K271" s="4">
        <v>7</v>
      </c>
      <c r="L271" s="5">
        <v>15</v>
      </c>
      <c r="M271" s="46">
        <v>47600</v>
      </c>
      <c r="N271" s="46">
        <v>33895</v>
      </c>
      <c r="O271" s="46">
        <v>13705</v>
      </c>
      <c r="P271" s="6">
        <v>28.79</v>
      </c>
      <c r="Q271" s="33" t="s">
        <v>39</v>
      </c>
      <c r="R271" s="33" t="s">
        <v>76</v>
      </c>
      <c r="S271" s="33" t="s">
        <v>68</v>
      </c>
      <c r="T271" s="33" t="s">
        <v>41</v>
      </c>
      <c r="U271" s="39">
        <v>1</v>
      </c>
      <c r="V271" s="9"/>
    </row>
    <row r="272" spans="1:22" x14ac:dyDescent="0.35">
      <c r="A272" s="17" t="s">
        <v>365</v>
      </c>
      <c r="B272" s="7">
        <v>45391</v>
      </c>
      <c r="C272" s="22" t="s">
        <v>83</v>
      </c>
      <c r="D272" s="22" t="s">
        <v>34</v>
      </c>
      <c r="E272" s="22" t="s">
        <v>35</v>
      </c>
      <c r="F272" s="27">
        <v>2024</v>
      </c>
      <c r="G272" s="22" t="s">
        <v>36</v>
      </c>
      <c r="H272" s="22" t="s">
        <v>88</v>
      </c>
      <c r="I272" s="22" t="s">
        <v>55</v>
      </c>
      <c r="J272" s="45">
        <v>8000</v>
      </c>
      <c r="K272" s="1">
        <v>1</v>
      </c>
      <c r="L272" s="2">
        <v>0</v>
      </c>
      <c r="M272" s="45">
        <v>8000</v>
      </c>
      <c r="N272" s="45">
        <v>5306</v>
      </c>
      <c r="O272" s="45">
        <v>2694</v>
      </c>
      <c r="P272" s="3">
        <v>33.67</v>
      </c>
      <c r="Q272" s="32" t="s">
        <v>39</v>
      </c>
      <c r="R272" s="32" t="s">
        <v>76</v>
      </c>
      <c r="S272" s="32" t="s">
        <v>30</v>
      </c>
      <c r="T272" s="32" t="s">
        <v>31</v>
      </c>
      <c r="U272" s="38">
        <v>2</v>
      </c>
      <c r="V272" s="9"/>
    </row>
    <row r="273" spans="1:22" x14ac:dyDescent="0.35">
      <c r="A273" s="18" t="s">
        <v>366</v>
      </c>
      <c r="B273" s="8">
        <v>45435</v>
      </c>
      <c r="C273" s="23" t="s">
        <v>33</v>
      </c>
      <c r="D273" s="23" t="s">
        <v>116</v>
      </c>
      <c r="E273" s="23" t="s">
        <v>35</v>
      </c>
      <c r="F273" s="28">
        <v>2024</v>
      </c>
      <c r="G273" s="23" t="s">
        <v>36</v>
      </c>
      <c r="H273" s="23" t="s">
        <v>49</v>
      </c>
      <c r="I273" s="23" t="s">
        <v>50</v>
      </c>
      <c r="J273" s="46">
        <v>18000</v>
      </c>
      <c r="K273" s="4">
        <v>9</v>
      </c>
      <c r="L273" s="5">
        <v>20</v>
      </c>
      <c r="M273" s="46">
        <v>129600</v>
      </c>
      <c r="N273" s="46">
        <v>89401</v>
      </c>
      <c r="O273" s="46">
        <v>40199</v>
      </c>
      <c r="P273" s="6">
        <v>31.02</v>
      </c>
      <c r="Q273" s="33" t="s">
        <v>81</v>
      </c>
      <c r="R273" s="33" t="s">
        <v>56</v>
      </c>
      <c r="S273" s="33" t="s">
        <v>57</v>
      </c>
      <c r="T273" s="33" t="s">
        <v>41</v>
      </c>
      <c r="U273" s="39">
        <v>1</v>
      </c>
      <c r="V273" s="9"/>
    </row>
    <row r="274" spans="1:22" x14ac:dyDescent="0.35">
      <c r="A274" s="17" t="s">
        <v>367</v>
      </c>
      <c r="B274" s="7">
        <v>44957</v>
      </c>
      <c r="C274" s="22" t="s">
        <v>83</v>
      </c>
      <c r="D274" s="22" t="s">
        <v>47</v>
      </c>
      <c r="E274" s="22" t="s">
        <v>48</v>
      </c>
      <c r="F274" s="27">
        <v>2023</v>
      </c>
      <c r="G274" s="22" t="s">
        <v>25</v>
      </c>
      <c r="H274" s="22" t="s">
        <v>59</v>
      </c>
      <c r="I274" s="22" t="s">
        <v>50</v>
      </c>
      <c r="J274" s="45">
        <v>22000</v>
      </c>
      <c r="K274" s="1">
        <v>5</v>
      </c>
      <c r="L274" s="2">
        <v>10</v>
      </c>
      <c r="M274" s="45">
        <v>99000</v>
      </c>
      <c r="N274" s="45">
        <v>55525</v>
      </c>
      <c r="O274" s="45">
        <v>43475</v>
      </c>
      <c r="P274" s="3">
        <v>43.91</v>
      </c>
      <c r="Q274" s="32" t="s">
        <v>75</v>
      </c>
      <c r="R274" s="32" t="s">
        <v>76</v>
      </c>
      <c r="S274" s="32" t="s">
        <v>40</v>
      </c>
      <c r="T274" s="32" t="s">
        <v>41</v>
      </c>
      <c r="U274" s="38">
        <v>1</v>
      </c>
      <c r="V274" s="9"/>
    </row>
    <row r="275" spans="1:22" x14ac:dyDescent="0.35">
      <c r="A275" s="18" t="s">
        <v>368</v>
      </c>
      <c r="B275" s="8">
        <v>45438</v>
      </c>
      <c r="C275" s="23" t="s">
        <v>70</v>
      </c>
      <c r="D275" s="23" t="s">
        <v>116</v>
      </c>
      <c r="E275" s="23" t="s">
        <v>35</v>
      </c>
      <c r="F275" s="28">
        <v>2024</v>
      </c>
      <c r="G275" s="23" t="s">
        <v>36</v>
      </c>
      <c r="H275" s="23" t="s">
        <v>186</v>
      </c>
      <c r="I275" s="23" t="s">
        <v>55</v>
      </c>
      <c r="J275" s="46">
        <v>20000</v>
      </c>
      <c r="K275" s="4">
        <v>6</v>
      </c>
      <c r="L275" s="5">
        <v>0</v>
      </c>
      <c r="M275" s="46">
        <v>120000</v>
      </c>
      <c r="N275" s="46">
        <v>71204</v>
      </c>
      <c r="O275" s="46">
        <v>48796</v>
      </c>
      <c r="P275" s="6">
        <v>40.659999999999997</v>
      </c>
      <c r="Q275" s="33" t="s">
        <v>28</v>
      </c>
      <c r="R275" s="33" t="s">
        <v>29</v>
      </c>
      <c r="S275" s="33" t="s">
        <v>30</v>
      </c>
      <c r="T275" s="33" t="s">
        <v>31</v>
      </c>
      <c r="U275" s="39">
        <v>1</v>
      </c>
      <c r="V275" s="9"/>
    </row>
    <row r="276" spans="1:22" x14ac:dyDescent="0.35">
      <c r="A276" s="17" t="s">
        <v>369</v>
      </c>
      <c r="B276" s="7">
        <v>44939</v>
      </c>
      <c r="C276" s="22" t="s">
        <v>78</v>
      </c>
      <c r="D276" s="22" t="s">
        <v>47</v>
      </c>
      <c r="E276" s="22" t="s">
        <v>48</v>
      </c>
      <c r="F276" s="27">
        <v>2023</v>
      </c>
      <c r="G276" s="22" t="s">
        <v>25</v>
      </c>
      <c r="H276" s="22" t="s">
        <v>106</v>
      </c>
      <c r="I276" s="22" t="s">
        <v>38</v>
      </c>
      <c r="J276" s="45">
        <v>12000</v>
      </c>
      <c r="K276" s="1">
        <v>8</v>
      </c>
      <c r="L276" s="2">
        <v>0</v>
      </c>
      <c r="M276" s="45">
        <v>96000</v>
      </c>
      <c r="N276" s="45">
        <v>59050</v>
      </c>
      <c r="O276" s="45">
        <v>36950</v>
      </c>
      <c r="P276" s="3">
        <v>38.49</v>
      </c>
      <c r="Q276" s="32" t="s">
        <v>39</v>
      </c>
      <c r="R276" s="32" t="s">
        <v>56</v>
      </c>
      <c r="S276" s="32" t="s">
        <v>30</v>
      </c>
      <c r="T276" s="32" t="s">
        <v>31</v>
      </c>
      <c r="U276" s="38">
        <v>3</v>
      </c>
      <c r="V276" s="9"/>
    </row>
    <row r="277" spans="1:22" x14ac:dyDescent="0.35">
      <c r="A277" s="18" t="s">
        <v>370</v>
      </c>
      <c r="B277" s="8">
        <v>45181</v>
      </c>
      <c r="C277" s="23" t="s">
        <v>83</v>
      </c>
      <c r="D277" s="23" t="s">
        <v>79</v>
      </c>
      <c r="E277" s="23" t="s">
        <v>72</v>
      </c>
      <c r="F277" s="28">
        <v>2023</v>
      </c>
      <c r="G277" s="23" t="s">
        <v>43</v>
      </c>
      <c r="H277" s="23" t="s">
        <v>62</v>
      </c>
      <c r="I277" s="23" t="s">
        <v>63</v>
      </c>
      <c r="J277" s="46">
        <v>5000</v>
      </c>
      <c r="K277" s="4">
        <v>5</v>
      </c>
      <c r="L277" s="5">
        <v>20</v>
      </c>
      <c r="M277" s="46">
        <v>20000</v>
      </c>
      <c r="N277" s="46">
        <v>11265</v>
      </c>
      <c r="O277" s="46">
        <v>8735</v>
      </c>
      <c r="P277" s="6">
        <v>43.68</v>
      </c>
      <c r="Q277" s="33" t="s">
        <v>81</v>
      </c>
      <c r="R277" s="33" t="s">
        <v>76</v>
      </c>
      <c r="S277" s="33" t="s">
        <v>85</v>
      </c>
      <c r="T277" s="33" t="s">
        <v>31</v>
      </c>
      <c r="U277" s="39">
        <v>2</v>
      </c>
      <c r="V277" s="9"/>
    </row>
    <row r="278" spans="1:22" x14ac:dyDescent="0.35">
      <c r="A278" s="17" t="s">
        <v>371</v>
      </c>
      <c r="B278" s="7">
        <v>45455</v>
      </c>
      <c r="C278" s="22" t="s">
        <v>22</v>
      </c>
      <c r="D278" s="22" t="s">
        <v>87</v>
      </c>
      <c r="E278" s="22" t="s">
        <v>35</v>
      </c>
      <c r="F278" s="27">
        <v>2024</v>
      </c>
      <c r="G278" s="22" t="s">
        <v>25</v>
      </c>
      <c r="H278" s="22" t="s">
        <v>174</v>
      </c>
      <c r="I278" s="22" t="s">
        <v>27</v>
      </c>
      <c r="J278" s="45">
        <v>12000</v>
      </c>
      <c r="K278" s="1">
        <v>2</v>
      </c>
      <c r="L278" s="2">
        <v>5</v>
      </c>
      <c r="M278" s="45">
        <v>22800</v>
      </c>
      <c r="N278" s="45">
        <v>15897</v>
      </c>
      <c r="O278" s="45">
        <v>6903</v>
      </c>
      <c r="P278" s="3">
        <v>30.28</v>
      </c>
      <c r="Q278" s="32" t="s">
        <v>81</v>
      </c>
      <c r="R278" s="32" t="s">
        <v>45</v>
      </c>
      <c r="S278" s="32" t="s">
        <v>30</v>
      </c>
      <c r="T278" s="32" t="s">
        <v>31</v>
      </c>
      <c r="U278" s="38">
        <v>3</v>
      </c>
      <c r="V278" s="9"/>
    </row>
    <row r="279" spans="1:22" x14ac:dyDescent="0.35">
      <c r="A279" s="18" t="s">
        <v>372</v>
      </c>
      <c r="B279" s="8">
        <v>45132</v>
      </c>
      <c r="C279" s="23" t="s">
        <v>83</v>
      </c>
      <c r="D279" s="23" t="s">
        <v>71</v>
      </c>
      <c r="E279" s="23" t="s">
        <v>72</v>
      </c>
      <c r="F279" s="28">
        <v>2023</v>
      </c>
      <c r="G279" s="23" t="s">
        <v>25</v>
      </c>
      <c r="H279" s="23" t="s">
        <v>49</v>
      </c>
      <c r="I279" s="23" t="s">
        <v>50</v>
      </c>
      <c r="J279" s="46">
        <v>18000</v>
      </c>
      <c r="K279" s="4">
        <v>5</v>
      </c>
      <c r="L279" s="5">
        <v>15</v>
      </c>
      <c r="M279" s="46">
        <v>76500</v>
      </c>
      <c r="N279" s="46">
        <v>50173</v>
      </c>
      <c r="O279" s="46">
        <v>26327</v>
      </c>
      <c r="P279" s="6">
        <v>34.409999999999997</v>
      </c>
      <c r="Q279" s="33" t="s">
        <v>51</v>
      </c>
      <c r="R279" s="33" t="s">
        <v>45</v>
      </c>
      <c r="S279" s="33" t="s">
        <v>85</v>
      </c>
      <c r="T279" s="33" t="s">
        <v>31</v>
      </c>
      <c r="U279" s="39">
        <v>5</v>
      </c>
      <c r="V279" s="9"/>
    </row>
    <row r="280" spans="1:22" x14ac:dyDescent="0.35">
      <c r="A280" s="17" t="s">
        <v>373</v>
      </c>
      <c r="B280" s="7">
        <v>45178</v>
      </c>
      <c r="C280" s="22" t="s">
        <v>53</v>
      </c>
      <c r="D280" s="22" t="s">
        <v>79</v>
      </c>
      <c r="E280" s="22" t="s">
        <v>72</v>
      </c>
      <c r="F280" s="27">
        <v>2023</v>
      </c>
      <c r="G280" s="22" t="s">
        <v>43</v>
      </c>
      <c r="H280" s="22" t="s">
        <v>106</v>
      </c>
      <c r="I280" s="22" t="s">
        <v>38</v>
      </c>
      <c r="J280" s="45">
        <v>12000</v>
      </c>
      <c r="K280" s="1">
        <v>7</v>
      </c>
      <c r="L280" s="2">
        <v>0</v>
      </c>
      <c r="M280" s="45">
        <v>84000</v>
      </c>
      <c r="N280" s="45">
        <v>49527</v>
      </c>
      <c r="O280" s="45">
        <v>34473</v>
      </c>
      <c r="P280" s="3">
        <v>41.04</v>
      </c>
      <c r="Q280" s="32" t="s">
        <v>81</v>
      </c>
      <c r="R280" s="32" t="s">
        <v>76</v>
      </c>
      <c r="S280" s="32" t="s">
        <v>57</v>
      </c>
      <c r="T280" s="32" t="s">
        <v>41</v>
      </c>
      <c r="U280" s="38">
        <v>3</v>
      </c>
      <c r="V280" s="9"/>
    </row>
    <row r="281" spans="1:22" x14ac:dyDescent="0.35">
      <c r="A281" s="18" t="s">
        <v>374</v>
      </c>
      <c r="B281" s="8">
        <v>45033</v>
      </c>
      <c r="C281" s="23" t="s">
        <v>90</v>
      </c>
      <c r="D281" s="23" t="s">
        <v>34</v>
      </c>
      <c r="E281" s="23" t="s">
        <v>35</v>
      </c>
      <c r="F281" s="28">
        <v>2023</v>
      </c>
      <c r="G281" s="23" t="s">
        <v>43</v>
      </c>
      <c r="H281" s="23" t="s">
        <v>66</v>
      </c>
      <c r="I281" s="23" t="s">
        <v>38</v>
      </c>
      <c r="J281" s="46">
        <v>11000</v>
      </c>
      <c r="K281" s="4">
        <v>4</v>
      </c>
      <c r="L281" s="5">
        <v>5</v>
      </c>
      <c r="M281" s="46">
        <v>41800</v>
      </c>
      <c r="N281" s="46">
        <v>26486</v>
      </c>
      <c r="O281" s="46">
        <v>15314</v>
      </c>
      <c r="P281" s="6">
        <v>36.64</v>
      </c>
      <c r="Q281" s="33" t="s">
        <v>28</v>
      </c>
      <c r="R281" s="33" t="s">
        <v>56</v>
      </c>
      <c r="S281" s="33" t="s">
        <v>57</v>
      </c>
      <c r="T281" s="33" t="s">
        <v>31</v>
      </c>
      <c r="U281" s="39">
        <v>2</v>
      </c>
      <c r="V281" s="9"/>
    </row>
    <row r="282" spans="1:22" x14ac:dyDescent="0.35">
      <c r="A282" s="17" t="s">
        <v>375</v>
      </c>
      <c r="B282" s="7">
        <v>45459</v>
      </c>
      <c r="C282" s="22" t="s">
        <v>70</v>
      </c>
      <c r="D282" s="22" t="s">
        <v>87</v>
      </c>
      <c r="E282" s="22" t="s">
        <v>35</v>
      </c>
      <c r="F282" s="27">
        <v>2024</v>
      </c>
      <c r="G282" s="22" t="s">
        <v>25</v>
      </c>
      <c r="H282" s="22" t="s">
        <v>62</v>
      </c>
      <c r="I282" s="22" t="s">
        <v>63</v>
      </c>
      <c r="J282" s="45">
        <v>5000</v>
      </c>
      <c r="K282" s="1">
        <v>8</v>
      </c>
      <c r="L282" s="2">
        <v>15</v>
      </c>
      <c r="M282" s="45">
        <v>34000</v>
      </c>
      <c r="N282" s="45">
        <v>19191</v>
      </c>
      <c r="O282" s="45">
        <v>14809</v>
      </c>
      <c r="P282" s="3">
        <v>43.56</v>
      </c>
      <c r="Q282" s="32" t="s">
        <v>28</v>
      </c>
      <c r="R282" s="32" t="s">
        <v>29</v>
      </c>
      <c r="S282" s="32" t="s">
        <v>68</v>
      </c>
      <c r="T282" s="32" t="s">
        <v>31</v>
      </c>
      <c r="U282" s="38">
        <v>5</v>
      </c>
      <c r="V282" s="9"/>
    </row>
    <row r="283" spans="1:22" x14ac:dyDescent="0.35">
      <c r="A283" s="18" t="s">
        <v>376</v>
      </c>
      <c r="B283" s="8">
        <v>45508</v>
      </c>
      <c r="C283" s="23" t="s">
        <v>70</v>
      </c>
      <c r="D283" s="23" t="s">
        <v>108</v>
      </c>
      <c r="E283" s="23" t="s">
        <v>72</v>
      </c>
      <c r="F283" s="28">
        <v>2024</v>
      </c>
      <c r="G283" s="23" t="s">
        <v>61</v>
      </c>
      <c r="H283" s="23" t="s">
        <v>174</v>
      </c>
      <c r="I283" s="23" t="s">
        <v>27</v>
      </c>
      <c r="J283" s="46">
        <v>12000</v>
      </c>
      <c r="K283" s="4">
        <v>3</v>
      </c>
      <c r="L283" s="5">
        <v>0</v>
      </c>
      <c r="M283" s="46">
        <v>36000</v>
      </c>
      <c r="N283" s="46">
        <v>21585</v>
      </c>
      <c r="O283" s="46">
        <v>14415</v>
      </c>
      <c r="P283" s="6">
        <v>40.04</v>
      </c>
      <c r="Q283" s="33" t="s">
        <v>81</v>
      </c>
      <c r="R283" s="33" t="s">
        <v>67</v>
      </c>
      <c r="S283" s="33" t="s">
        <v>57</v>
      </c>
      <c r="T283" s="33" t="s">
        <v>41</v>
      </c>
      <c r="U283" s="39">
        <v>3</v>
      </c>
      <c r="V283" s="9"/>
    </row>
    <row r="284" spans="1:22" x14ac:dyDescent="0.35">
      <c r="A284" s="17" t="s">
        <v>377</v>
      </c>
      <c r="B284" s="7">
        <v>45166</v>
      </c>
      <c r="C284" s="22" t="s">
        <v>90</v>
      </c>
      <c r="D284" s="22" t="s">
        <v>108</v>
      </c>
      <c r="E284" s="22" t="s">
        <v>72</v>
      </c>
      <c r="F284" s="27">
        <v>2023</v>
      </c>
      <c r="G284" s="22" t="s">
        <v>36</v>
      </c>
      <c r="H284" s="22" t="s">
        <v>44</v>
      </c>
      <c r="I284" s="22" t="s">
        <v>27</v>
      </c>
      <c r="J284" s="45">
        <v>6000</v>
      </c>
      <c r="K284" s="1">
        <v>3</v>
      </c>
      <c r="L284" s="2">
        <v>20</v>
      </c>
      <c r="M284" s="45">
        <v>14400</v>
      </c>
      <c r="N284" s="45">
        <v>9805</v>
      </c>
      <c r="O284" s="45">
        <v>4595</v>
      </c>
      <c r="P284" s="3">
        <v>31.91</v>
      </c>
      <c r="Q284" s="32" t="s">
        <v>28</v>
      </c>
      <c r="R284" s="32" t="s">
        <v>56</v>
      </c>
      <c r="S284" s="32" t="s">
        <v>30</v>
      </c>
      <c r="T284" s="32" t="s">
        <v>41</v>
      </c>
      <c r="U284" s="38">
        <v>4</v>
      </c>
      <c r="V284" s="9"/>
    </row>
    <row r="285" spans="1:22" x14ac:dyDescent="0.35">
      <c r="A285" s="18" t="s">
        <v>378</v>
      </c>
      <c r="B285" s="8">
        <v>45248</v>
      </c>
      <c r="C285" s="23" t="s">
        <v>53</v>
      </c>
      <c r="D285" s="23" t="s">
        <v>110</v>
      </c>
      <c r="E285" s="23" t="s">
        <v>24</v>
      </c>
      <c r="F285" s="28">
        <v>2023</v>
      </c>
      <c r="G285" s="23" t="s">
        <v>25</v>
      </c>
      <c r="H285" s="23" t="s">
        <v>93</v>
      </c>
      <c r="I285" s="23" t="s">
        <v>63</v>
      </c>
      <c r="J285" s="46">
        <v>14000</v>
      </c>
      <c r="K285" s="4">
        <v>9</v>
      </c>
      <c r="L285" s="5">
        <v>0</v>
      </c>
      <c r="M285" s="46">
        <v>126000</v>
      </c>
      <c r="N285" s="46">
        <v>89962</v>
      </c>
      <c r="O285" s="46">
        <v>36038</v>
      </c>
      <c r="P285" s="6">
        <v>28.6</v>
      </c>
      <c r="Q285" s="33" t="s">
        <v>39</v>
      </c>
      <c r="R285" s="33" t="s">
        <v>67</v>
      </c>
      <c r="S285" s="33" t="s">
        <v>57</v>
      </c>
      <c r="T285" s="33" t="s">
        <v>41</v>
      </c>
      <c r="U285" s="39">
        <v>1</v>
      </c>
      <c r="V285" s="9"/>
    </row>
    <row r="286" spans="1:22" x14ac:dyDescent="0.35">
      <c r="A286" s="17" t="s">
        <v>379</v>
      </c>
      <c r="B286" s="7">
        <v>45019</v>
      </c>
      <c r="C286" s="22" t="s">
        <v>90</v>
      </c>
      <c r="D286" s="22" t="s">
        <v>34</v>
      </c>
      <c r="E286" s="22" t="s">
        <v>35</v>
      </c>
      <c r="F286" s="27">
        <v>2023</v>
      </c>
      <c r="G286" s="22" t="s">
        <v>36</v>
      </c>
      <c r="H286" s="22" t="s">
        <v>123</v>
      </c>
      <c r="I286" s="22" t="s">
        <v>38</v>
      </c>
      <c r="J286" s="45">
        <v>14000</v>
      </c>
      <c r="K286" s="1">
        <v>10</v>
      </c>
      <c r="L286" s="2">
        <v>0</v>
      </c>
      <c r="M286" s="45">
        <v>140000</v>
      </c>
      <c r="N286" s="45">
        <v>82117</v>
      </c>
      <c r="O286" s="45">
        <v>57883</v>
      </c>
      <c r="P286" s="3">
        <v>41.34</v>
      </c>
      <c r="Q286" s="32" t="s">
        <v>81</v>
      </c>
      <c r="R286" s="32" t="s">
        <v>56</v>
      </c>
      <c r="S286" s="32" t="s">
        <v>30</v>
      </c>
      <c r="T286" s="32" t="s">
        <v>41</v>
      </c>
      <c r="U286" s="38">
        <v>4</v>
      </c>
      <c r="V286" s="9"/>
    </row>
    <row r="287" spans="1:22" x14ac:dyDescent="0.35">
      <c r="A287" s="18" t="s">
        <v>380</v>
      </c>
      <c r="B287" s="8">
        <v>45452</v>
      </c>
      <c r="C287" s="23" t="s">
        <v>70</v>
      </c>
      <c r="D287" s="23" t="s">
        <v>87</v>
      </c>
      <c r="E287" s="23" t="s">
        <v>35</v>
      </c>
      <c r="F287" s="28">
        <v>2024</v>
      </c>
      <c r="G287" s="23" t="s">
        <v>36</v>
      </c>
      <c r="H287" s="23" t="s">
        <v>84</v>
      </c>
      <c r="I287" s="23" t="s">
        <v>27</v>
      </c>
      <c r="J287" s="46">
        <v>8000</v>
      </c>
      <c r="K287" s="4">
        <v>5</v>
      </c>
      <c r="L287" s="5">
        <v>20</v>
      </c>
      <c r="M287" s="46">
        <v>32000</v>
      </c>
      <c r="N287" s="46">
        <v>22989</v>
      </c>
      <c r="O287" s="46">
        <v>9011</v>
      </c>
      <c r="P287" s="6">
        <v>28.16</v>
      </c>
      <c r="Q287" s="33" t="s">
        <v>28</v>
      </c>
      <c r="R287" s="33" t="s">
        <v>67</v>
      </c>
      <c r="S287" s="33" t="s">
        <v>40</v>
      </c>
      <c r="T287" s="33" t="s">
        <v>31</v>
      </c>
      <c r="U287" s="39">
        <v>4</v>
      </c>
      <c r="V287" s="9"/>
    </row>
    <row r="288" spans="1:22" x14ac:dyDescent="0.35">
      <c r="A288" s="17" t="s">
        <v>381</v>
      </c>
      <c r="B288" s="7">
        <v>45031</v>
      </c>
      <c r="C288" s="22" t="s">
        <v>53</v>
      </c>
      <c r="D288" s="22" t="s">
        <v>34</v>
      </c>
      <c r="E288" s="22" t="s">
        <v>35</v>
      </c>
      <c r="F288" s="27">
        <v>2023</v>
      </c>
      <c r="G288" s="22" t="s">
        <v>25</v>
      </c>
      <c r="H288" s="22" t="s">
        <v>106</v>
      </c>
      <c r="I288" s="22" t="s">
        <v>38</v>
      </c>
      <c r="J288" s="45">
        <v>12000</v>
      </c>
      <c r="K288" s="1">
        <v>1</v>
      </c>
      <c r="L288" s="2">
        <v>0</v>
      </c>
      <c r="M288" s="45">
        <v>12000</v>
      </c>
      <c r="N288" s="45">
        <v>8294</v>
      </c>
      <c r="O288" s="45">
        <v>3706</v>
      </c>
      <c r="P288" s="3">
        <v>30.88</v>
      </c>
      <c r="Q288" s="32" t="s">
        <v>39</v>
      </c>
      <c r="R288" s="32" t="s">
        <v>56</v>
      </c>
      <c r="S288" s="32" t="s">
        <v>68</v>
      </c>
      <c r="T288" s="32" t="s">
        <v>41</v>
      </c>
      <c r="U288" s="38">
        <v>1</v>
      </c>
      <c r="V288" s="9"/>
    </row>
    <row r="289" spans="1:22" x14ac:dyDescent="0.35">
      <c r="A289" s="18" t="s">
        <v>382</v>
      </c>
      <c r="B289" s="8">
        <v>45523</v>
      </c>
      <c r="C289" s="23" t="s">
        <v>90</v>
      </c>
      <c r="D289" s="23" t="s">
        <v>108</v>
      </c>
      <c r="E289" s="23" t="s">
        <v>72</v>
      </c>
      <c r="F289" s="28">
        <v>2024</v>
      </c>
      <c r="G289" s="23" t="s">
        <v>43</v>
      </c>
      <c r="H289" s="23" t="s">
        <v>54</v>
      </c>
      <c r="I289" s="23" t="s">
        <v>55</v>
      </c>
      <c r="J289" s="46">
        <v>18000</v>
      </c>
      <c r="K289" s="4">
        <v>2</v>
      </c>
      <c r="L289" s="5">
        <v>0</v>
      </c>
      <c r="M289" s="46">
        <v>36000</v>
      </c>
      <c r="N289" s="46">
        <v>25903</v>
      </c>
      <c r="O289" s="46">
        <v>10097</v>
      </c>
      <c r="P289" s="6">
        <v>28.05</v>
      </c>
      <c r="Q289" s="33" t="s">
        <v>39</v>
      </c>
      <c r="R289" s="33" t="s">
        <v>67</v>
      </c>
      <c r="S289" s="33" t="s">
        <v>68</v>
      </c>
      <c r="T289" s="33" t="s">
        <v>41</v>
      </c>
      <c r="U289" s="39">
        <v>1</v>
      </c>
      <c r="V289" s="9"/>
    </row>
    <row r="290" spans="1:22" x14ac:dyDescent="0.35">
      <c r="A290" s="17" t="s">
        <v>383</v>
      </c>
      <c r="B290" s="7">
        <v>44970</v>
      </c>
      <c r="C290" s="22" t="s">
        <v>90</v>
      </c>
      <c r="D290" s="22" t="s">
        <v>74</v>
      </c>
      <c r="E290" s="22" t="s">
        <v>48</v>
      </c>
      <c r="F290" s="27">
        <v>2023</v>
      </c>
      <c r="G290" s="22" t="s">
        <v>25</v>
      </c>
      <c r="H290" s="22" t="s">
        <v>93</v>
      </c>
      <c r="I290" s="22" t="s">
        <v>63</v>
      </c>
      <c r="J290" s="45">
        <v>14000</v>
      </c>
      <c r="K290" s="1">
        <v>3</v>
      </c>
      <c r="L290" s="2">
        <v>10</v>
      </c>
      <c r="M290" s="45">
        <v>37800</v>
      </c>
      <c r="N290" s="45">
        <v>23573</v>
      </c>
      <c r="O290" s="45">
        <v>14227</v>
      </c>
      <c r="P290" s="3">
        <v>37.64</v>
      </c>
      <c r="Q290" s="32" t="s">
        <v>51</v>
      </c>
      <c r="R290" s="32" t="s">
        <v>67</v>
      </c>
      <c r="S290" s="32" t="s">
        <v>30</v>
      </c>
      <c r="T290" s="32" t="s">
        <v>41</v>
      </c>
      <c r="U290" s="38">
        <v>2</v>
      </c>
      <c r="V290" s="9"/>
    </row>
    <row r="291" spans="1:22" x14ac:dyDescent="0.35">
      <c r="A291" s="18" t="s">
        <v>384</v>
      </c>
      <c r="B291" s="8">
        <v>45289</v>
      </c>
      <c r="C291" s="23" t="s">
        <v>78</v>
      </c>
      <c r="D291" s="23" t="s">
        <v>97</v>
      </c>
      <c r="E291" s="23" t="s">
        <v>24</v>
      </c>
      <c r="F291" s="28">
        <v>2023</v>
      </c>
      <c r="G291" s="23" t="s">
        <v>36</v>
      </c>
      <c r="H291" s="23" t="s">
        <v>37</v>
      </c>
      <c r="I291" s="23" t="s">
        <v>38</v>
      </c>
      <c r="J291" s="46">
        <v>10000</v>
      </c>
      <c r="K291" s="4">
        <v>5</v>
      </c>
      <c r="L291" s="5">
        <v>0</v>
      </c>
      <c r="M291" s="46">
        <v>50000</v>
      </c>
      <c r="N291" s="46">
        <v>31291</v>
      </c>
      <c r="O291" s="46">
        <v>18709</v>
      </c>
      <c r="P291" s="6">
        <v>37.42</v>
      </c>
      <c r="Q291" s="33" t="s">
        <v>39</v>
      </c>
      <c r="R291" s="33" t="s">
        <v>76</v>
      </c>
      <c r="S291" s="33" t="s">
        <v>85</v>
      </c>
      <c r="T291" s="33" t="s">
        <v>41</v>
      </c>
      <c r="U291" s="39">
        <v>4</v>
      </c>
      <c r="V291" s="9"/>
    </row>
    <row r="292" spans="1:22" x14ac:dyDescent="0.35">
      <c r="A292" s="17" t="s">
        <v>385</v>
      </c>
      <c r="B292" s="7">
        <v>45348</v>
      </c>
      <c r="C292" s="22" t="s">
        <v>90</v>
      </c>
      <c r="D292" s="22" t="s">
        <v>74</v>
      </c>
      <c r="E292" s="22" t="s">
        <v>48</v>
      </c>
      <c r="F292" s="27">
        <v>2024</v>
      </c>
      <c r="G292" s="22" t="s">
        <v>36</v>
      </c>
      <c r="H292" s="22" t="s">
        <v>126</v>
      </c>
      <c r="I292" s="22" t="s">
        <v>55</v>
      </c>
      <c r="J292" s="45">
        <v>12000</v>
      </c>
      <c r="K292" s="1">
        <v>1</v>
      </c>
      <c r="L292" s="2">
        <v>0</v>
      </c>
      <c r="M292" s="45">
        <v>12000</v>
      </c>
      <c r="N292" s="45">
        <v>7171</v>
      </c>
      <c r="O292" s="45">
        <v>4829</v>
      </c>
      <c r="P292" s="3">
        <v>40.24</v>
      </c>
      <c r="Q292" s="32" t="s">
        <v>39</v>
      </c>
      <c r="R292" s="32" t="s">
        <v>67</v>
      </c>
      <c r="S292" s="32" t="s">
        <v>68</v>
      </c>
      <c r="T292" s="32" t="s">
        <v>31</v>
      </c>
      <c r="U292" s="38">
        <v>4</v>
      </c>
      <c r="V292" s="9"/>
    </row>
    <row r="293" spans="1:22" x14ac:dyDescent="0.35">
      <c r="A293" s="18" t="s">
        <v>386</v>
      </c>
      <c r="B293" s="8">
        <v>45294</v>
      </c>
      <c r="C293" s="23" t="s">
        <v>22</v>
      </c>
      <c r="D293" s="23" t="s">
        <v>47</v>
      </c>
      <c r="E293" s="23" t="s">
        <v>48</v>
      </c>
      <c r="F293" s="28">
        <v>2024</v>
      </c>
      <c r="G293" s="23" t="s">
        <v>61</v>
      </c>
      <c r="H293" s="23" t="s">
        <v>119</v>
      </c>
      <c r="I293" s="23" t="s">
        <v>63</v>
      </c>
      <c r="J293" s="46">
        <v>16000</v>
      </c>
      <c r="K293" s="4">
        <v>8</v>
      </c>
      <c r="L293" s="5">
        <v>0</v>
      </c>
      <c r="M293" s="46">
        <v>128000</v>
      </c>
      <c r="N293" s="46">
        <v>90260</v>
      </c>
      <c r="O293" s="46">
        <v>37740</v>
      </c>
      <c r="P293" s="6">
        <v>29.48</v>
      </c>
      <c r="Q293" s="33" t="s">
        <v>75</v>
      </c>
      <c r="R293" s="33" t="s">
        <v>45</v>
      </c>
      <c r="S293" s="33" t="s">
        <v>40</v>
      </c>
      <c r="T293" s="33" t="s">
        <v>31</v>
      </c>
      <c r="U293" s="39">
        <v>1</v>
      </c>
      <c r="V293" s="9"/>
    </row>
    <row r="294" spans="1:22" x14ac:dyDescent="0.35">
      <c r="A294" s="17" t="s">
        <v>387</v>
      </c>
      <c r="B294" s="7">
        <v>45253</v>
      </c>
      <c r="C294" s="22" t="s">
        <v>33</v>
      </c>
      <c r="D294" s="22" t="s">
        <v>110</v>
      </c>
      <c r="E294" s="22" t="s">
        <v>24</v>
      </c>
      <c r="F294" s="27">
        <v>2023</v>
      </c>
      <c r="G294" s="22" t="s">
        <v>61</v>
      </c>
      <c r="H294" s="22" t="s">
        <v>186</v>
      </c>
      <c r="I294" s="22" t="s">
        <v>55</v>
      </c>
      <c r="J294" s="45">
        <v>20000</v>
      </c>
      <c r="K294" s="1">
        <v>1</v>
      </c>
      <c r="L294" s="2">
        <v>20</v>
      </c>
      <c r="M294" s="45">
        <v>16000</v>
      </c>
      <c r="N294" s="45">
        <v>10918</v>
      </c>
      <c r="O294" s="45">
        <v>5082</v>
      </c>
      <c r="P294" s="3">
        <v>31.76</v>
      </c>
      <c r="Q294" s="32" t="s">
        <v>28</v>
      </c>
      <c r="R294" s="32" t="s">
        <v>67</v>
      </c>
      <c r="S294" s="32" t="s">
        <v>85</v>
      </c>
      <c r="T294" s="32" t="s">
        <v>31</v>
      </c>
      <c r="U294" s="38">
        <v>2</v>
      </c>
      <c r="V294" s="9"/>
    </row>
    <row r="295" spans="1:22" x14ac:dyDescent="0.35">
      <c r="A295" s="18" t="s">
        <v>388</v>
      </c>
      <c r="B295" s="8">
        <v>45029</v>
      </c>
      <c r="C295" s="23" t="s">
        <v>33</v>
      </c>
      <c r="D295" s="23" t="s">
        <v>34</v>
      </c>
      <c r="E295" s="23" t="s">
        <v>35</v>
      </c>
      <c r="F295" s="28">
        <v>2023</v>
      </c>
      <c r="G295" s="23" t="s">
        <v>25</v>
      </c>
      <c r="H295" s="23" t="s">
        <v>37</v>
      </c>
      <c r="I295" s="23" t="s">
        <v>38</v>
      </c>
      <c r="J295" s="46">
        <v>10000</v>
      </c>
      <c r="K295" s="4">
        <v>5</v>
      </c>
      <c r="L295" s="5">
        <v>10</v>
      </c>
      <c r="M295" s="46">
        <v>45000</v>
      </c>
      <c r="N295" s="46">
        <v>30995</v>
      </c>
      <c r="O295" s="46">
        <v>14005</v>
      </c>
      <c r="P295" s="6">
        <v>31.12</v>
      </c>
      <c r="Q295" s="33" t="s">
        <v>28</v>
      </c>
      <c r="R295" s="33" t="s">
        <v>56</v>
      </c>
      <c r="S295" s="33" t="s">
        <v>85</v>
      </c>
      <c r="T295" s="33" t="s">
        <v>41</v>
      </c>
      <c r="U295" s="39">
        <v>2</v>
      </c>
      <c r="V295" s="9"/>
    </row>
    <row r="296" spans="1:22" x14ac:dyDescent="0.35">
      <c r="A296" s="17" t="s">
        <v>389</v>
      </c>
      <c r="B296" s="7">
        <v>45107</v>
      </c>
      <c r="C296" s="22" t="s">
        <v>78</v>
      </c>
      <c r="D296" s="22" t="s">
        <v>87</v>
      </c>
      <c r="E296" s="22" t="s">
        <v>35</v>
      </c>
      <c r="F296" s="27">
        <v>2023</v>
      </c>
      <c r="G296" s="22" t="s">
        <v>61</v>
      </c>
      <c r="H296" s="22" t="s">
        <v>66</v>
      </c>
      <c r="I296" s="22" t="s">
        <v>38</v>
      </c>
      <c r="J296" s="45">
        <v>11000</v>
      </c>
      <c r="K296" s="1">
        <v>6</v>
      </c>
      <c r="L296" s="2">
        <v>20</v>
      </c>
      <c r="M296" s="45">
        <v>52800</v>
      </c>
      <c r="N296" s="45">
        <v>35665</v>
      </c>
      <c r="O296" s="45">
        <v>17135</v>
      </c>
      <c r="P296" s="3">
        <v>32.450000000000003</v>
      </c>
      <c r="Q296" s="32" t="s">
        <v>81</v>
      </c>
      <c r="R296" s="32" t="s">
        <v>29</v>
      </c>
      <c r="S296" s="32" t="s">
        <v>30</v>
      </c>
      <c r="T296" s="32" t="s">
        <v>31</v>
      </c>
      <c r="U296" s="38">
        <v>5</v>
      </c>
      <c r="V296" s="9"/>
    </row>
    <row r="297" spans="1:22" x14ac:dyDescent="0.35">
      <c r="A297" s="18" t="s">
        <v>390</v>
      </c>
      <c r="B297" s="8">
        <v>45119</v>
      </c>
      <c r="C297" s="23" t="s">
        <v>22</v>
      </c>
      <c r="D297" s="23" t="s">
        <v>71</v>
      </c>
      <c r="E297" s="23" t="s">
        <v>72</v>
      </c>
      <c r="F297" s="28">
        <v>2023</v>
      </c>
      <c r="G297" s="23" t="s">
        <v>36</v>
      </c>
      <c r="H297" s="23" t="s">
        <v>119</v>
      </c>
      <c r="I297" s="23" t="s">
        <v>63</v>
      </c>
      <c r="J297" s="46">
        <v>16000</v>
      </c>
      <c r="K297" s="4">
        <v>5</v>
      </c>
      <c r="L297" s="5">
        <v>0</v>
      </c>
      <c r="M297" s="46">
        <v>80000</v>
      </c>
      <c r="N297" s="46">
        <v>50670</v>
      </c>
      <c r="O297" s="46">
        <v>29330</v>
      </c>
      <c r="P297" s="6">
        <v>36.659999999999997</v>
      </c>
      <c r="Q297" s="33" t="s">
        <v>28</v>
      </c>
      <c r="R297" s="33" t="s">
        <v>76</v>
      </c>
      <c r="S297" s="33" t="s">
        <v>68</v>
      </c>
      <c r="T297" s="33" t="s">
        <v>31</v>
      </c>
      <c r="U297" s="39">
        <v>5</v>
      </c>
      <c r="V297" s="9"/>
    </row>
    <row r="298" spans="1:22" x14ac:dyDescent="0.35">
      <c r="A298" s="17" t="s">
        <v>391</v>
      </c>
      <c r="B298" s="7">
        <v>45416</v>
      </c>
      <c r="C298" s="22" t="s">
        <v>53</v>
      </c>
      <c r="D298" s="22" t="s">
        <v>116</v>
      </c>
      <c r="E298" s="22" t="s">
        <v>35</v>
      </c>
      <c r="F298" s="27">
        <v>2024</v>
      </c>
      <c r="G298" s="22" t="s">
        <v>43</v>
      </c>
      <c r="H298" s="22" t="s">
        <v>84</v>
      </c>
      <c r="I298" s="22" t="s">
        <v>27</v>
      </c>
      <c r="J298" s="45">
        <v>8000</v>
      </c>
      <c r="K298" s="1">
        <v>10</v>
      </c>
      <c r="L298" s="2">
        <v>0</v>
      </c>
      <c r="M298" s="45">
        <v>80000</v>
      </c>
      <c r="N298" s="45">
        <v>54968</v>
      </c>
      <c r="O298" s="45">
        <v>25032</v>
      </c>
      <c r="P298" s="3">
        <v>31.29</v>
      </c>
      <c r="Q298" s="32" t="s">
        <v>81</v>
      </c>
      <c r="R298" s="32" t="s">
        <v>56</v>
      </c>
      <c r="S298" s="32" t="s">
        <v>57</v>
      </c>
      <c r="T298" s="32" t="s">
        <v>31</v>
      </c>
      <c r="U298" s="38">
        <v>2</v>
      </c>
      <c r="V298" s="9"/>
    </row>
    <row r="299" spans="1:22" x14ac:dyDescent="0.35">
      <c r="A299" s="18" t="s">
        <v>392</v>
      </c>
      <c r="B299" s="8">
        <v>45527</v>
      </c>
      <c r="C299" s="23" t="s">
        <v>78</v>
      </c>
      <c r="D299" s="23" t="s">
        <v>108</v>
      </c>
      <c r="E299" s="23" t="s">
        <v>72</v>
      </c>
      <c r="F299" s="28">
        <v>2024</v>
      </c>
      <c r="G299" s="23" t="s">
        <v>43</v>
      </c>
      <c r="H299" s="23" t="s">
        <v>106</v>
      </c>
      <c r="I299" s="23" t="s">
        <v>38</v>
      </c>
      <c r="J299" s="46">
        <v>12000</v>
      </c>
      <c r="K299" s="4">
        <v>9</v>
      </c>
      <c r="L299" s="5">
        <v>20</v>
      </c>
      <c r="M299" s="46">
        <v>86400</v>
      </c>
      <c r="N299" s="46">
        <v>52880</v>
      </c>
      <c r="O299" s="46">
        <v>33520</v>
      </c>
      <c r="P299" s="6">
        <v>38.799999999999997</v>
      </c>
      <c r="Q299" s="33" t="s">
        <v>28</v>
      </c>
      <c r="R299" s="33" t="s">
        <v>45</v>
      </c>
      <c r="S299" s="33" t="s">
        <v>40</v>
      </c>
      <c r="T299" s="33" t="s">
        <v>41</v>
      </c>
      <c r="U299" s="39">
        <v>3</v>
      </c>
      <c r="V299" s="9"/>
    </row>
    <row r="300" spans="1:22" x14ac:dyDescent="0.35">
      <c r="A300" s="17" t="s">
        <v>393</v>
      </c>
      <c r="B300" s="7">
        <v>45257</v>
      </c>
      <c r="C300" s="22" t="s">
        <v>90</v>
      </c>
      <c r="D300" s="22" t="s">
        <v>110</v>
      </c>
      <c r="E300" s="22" t="s">
        <v>24</v>
      </c>
      <c r="F300" s="27">
        <v>2023</v>
      </c>
      <c r="G300" s="22" t="s">
        <v>61</v>
      </c>
      <c r="H300" s="22" t="s">
        <v>37</v>
      </c>
      <c r="I300" s="22" t="s">
        <v>38</v>
      </c>
      <c r="J300" s="45">
        <v>10000</v>
      </c>
      <c r="K300" s="1">
        <v>7</v>
      </c>
      <c r="L300" s="2">
        <v>20</v>
      </c>
      <c r="M300" s="45">
        <v>56000</v>
      </c>
      <c r="N300" s="45">
        <v>36886</v>
      </c>
      <c r="O300" s="45">
        <v>19114</v>
      </c>
      <c r="P300" s="3">
        <v>34.130000000000003</v>
      </c>
      <c r="Q300" s="32" t="s">
        <v>51</v>
      </c>
      <c r="R300" s="32" t="s">
        <v>45</v>
      </c>
      <c r="S300" s="32" t="s">
        <v>68</v>
      </c>
      <c r="T300" s="32" t="s">
        <v>31</v>
      </c>
      <c r="U300" s="38">
        <v>5</v>
      </c>
      <c r="V300" s="9"/>
    </row>
    <row r="301" spans="1:22" x14ac:dyDescent="0.35">
      <c r="A301" s="18" t="s">
        <v>394</v>
      </c>
      <c r="B301" s="8">
        <v>45106</v>
      </c>
      <c r="C301" s="23" t="s">
        <v>33</v>
      </c>
      <c r="D301" s="23" t="s">
        <v>87</v>
      </c>
      <c r="E301" s="23" t="s">
        <v>35</v>
      </c>
      <c r="F301" s="28">
        <v>2023</v>
      </c>
      <c r="G301" s="23" t="s">
        <v>43</v>
      </c>
      <c r="H301" s="23" t="s">
        <v>62</v>
      </c>
      <c r="I301" s="23" t="s">
        <v>63</v>
      </c>
      <c r="J301" s="46">
        <v>5000</v>
      </c>
      <c r="K301" s="4">
        <v>5</v>
      </c>
      <c r="L301" s="5">
        <v>0</v>
      </c>
      <c r="M301" s="46">
        <v>25000</v>
      </c>
      <c r="N301" s="46">
        <v>14505</v>
      </c>
      <c r="O301" s="46">
        <v>10495</v>
      </c>
      <c r="P301" s="6">
        <v>41.98</v>
      </c>
      <c r="Q301" s="33" t="s">
        <v>28</v>
      </c>
      <c r="R301" s="33" t="s">
        <v>29</v>
      </c>
      <c r="S301" s="33" t="s">
        <v>40</v>
      </c>
      <c r="T301" s="33" t="s">
        <v>31</v>
      </c>
      <c r="U301" s="39">
        <v>5</v>
      </c>
      <c r="V301" s="9"/>
    </row>
    <row r="302" spans="1:22" x14ac:dyDescent="0.35">
      <c r="A302" s="17" t="s">
        <v>395</v>
      </c>
      <c r="B302" s="7">
        <v>45252</v>
      </c>
      <c r="C302" s="22" t="s">
        <v>22</v>
      </c>
      <c r="D302" s="22" t="s">
        <v>110</v>
      </c>
      <c r="E302" s="22" t="s">
        <v>24</v>
      </c>
      <c r="F302" s="27">
        <v>2023</v>
      </c>
      <c r="G302" s="22" t="s">
        <v>36</v>
      </c>
      <c r="H302" s="22" t="s">
        <v>186</v>
      </c>
      <c r="I302" s="22" t="s">
        <v>55</v>
      </c>
      <c r="J302" s="45">
        <v>20000</v>
      </c>
      <c r="K302" s="1">
        <v>10</v>
      </c>
      <c r="L302" s="2">
        <v>0</v>
      </c>
      <c r="M302" s="45">
        <v>200000</v>
      </c>
      <c r="N302" s="45">
        <v>141847</v>
      </c>
      <c r="O302" s="45">
        <v>58153</v>
      </c>
      <c r="P302" s="3">
        <v>29.08</v>
      </c>
      <c r="Q302" s="32" t="s">
        <v>39</v>
      </c>
      <c r="R302" s="32" t="s">
        <v>45</v>
      </c>
      <c r="S302" s="32" t="s">
        <v>30</v>
      </c>
      <c r="T302" s="32" t="s">
        <v>41</v>
      </c>
      <c r="U302" s="38">
        <v>3</v>
      </c>
      <c r="V302" s="9"/>
    </row>
    <row r="303" spans="1:22" x14ac:dyDescent="0.35">
      <c r="A303" s="18" t="s">
        <v>396</v>
      </c>
      <c r="B303" s="8">
        <v>45098</v>
      </c>
      <c r="C303" s="23" t="s">
        <v>22</v>
      </c>
      <c r="D303" s="23" t="s">
        <v>87</v>
      </c>
      <c r="E303" s="23" t="s">
        <v>35</v>
      </c>
      <c r="F303" s="28">
        <v>2023</v>
      </c>
      <c r="G303" s="23" t="s">
        <v>61</v>
      </c>
      <c r="H303" s="23" t="s">
        <v>84</v>
      </c>
      <c r="I303" s="23" t="s">
        <v>27</v>
      </c>
      <c r="J303" s="46">
        <v>8000</v>
      </c>
      <c r="K303" s="4">
        <v>8</v>
      </c>
      <c r="L303" s="5">
        <v>0</v>
      </c>
      <c r="M303" s="46">
        <v>64000</v>
      </c>
      <c r="N303" s="46">
        <v>38086</v>
      </c>
      <c r="O303" s="46">
        <v>25914</v>
      </c>
      <c r="P303" s="6">
        <v>40.49</v>
      </c>
      <c r="Q303" s="33" t="s">
        <v>39</v>
      </c>
      <c r="R303" s="33" t="s">
        <v>76</v>
      </c>
      <c r="S303" s="33" t="s">
        <v>57</v>
      </c>
      <c r="T303" s="33" t="s">
        <v>31</v>
      </c>
      <c r="U303" s="39">
        <v>1</v>
      </c>
      <c r="V303" s="9"/>
    </row>
    <row r="304" spans="1:22" x14ac:dyDescent="0.35">
      <c r="A304" s="17" t="s">
        <v>397</v>
      </c>
      <c r="B304" s="7">
        <v>44976</v>
      </c>
      <c r="C304" s="22" t="s">
        <v>70</v>
      </c>
      <c r="D304" s="22" t="s">
        <v>74</v>
      </c>
      <c r="E304" s="22" t="s">
        <v>48</v>
      </c>
      <c r="F304" s="27">
        <v>2023</v>
      </c>
      <c r="G304" s="22" t="s">
        <v>25</v>
      </c>
      <c r="H304" s="22" t="s">
        <v>98</v>
      </c>
      <c r="I304" s="22" t="s">
        <v>63</v>
      </c>
      <c r="J304" s="45">
        <v>28000</v>
      </c>
      <c r="K304" s="1">
        <v>7</v>
      </c>
      <c r="L304" s="2">
        <v>0</v>
      </c>
      <c r="M304" s="45">
        <v>196000</v>
      </c>
      <c r="N304" s="45">
        <v>137273</v>
      </c>
      <c r="O304" s="45">
        <v>58727</v>
      </c>
      <c r="P304" s="3">
        <v>29.96</v>
      </c>
      <c r="Q304" s="32" t="s">
        <v>51</v>
      </c>
      <c r="R304" s="32" t="s">
        <v>67</v>
      </c>
      <c r="S304" s="32" t="s">
        <v>57</v>
      </c>
      <c r="T304" s="32" t="s">
        <v>31</v>
      </c>
      <c r="U304" s="38">
        <v>4</v>
      </c>
      <c r="V304" s="9"/>
    </row>
    <row r="305" spans="1:22" x14ac:dyDescent="0.35">
      <c r="A305" s="18" t="s">
        <v>398</v>
      </c>
      <c r="B305" s="8">
        <v>45518</v>
      </c>
      <c r="C305" s="23" t="s">
        <v>22</v>
      </c>
      <c r="D305" s="23" t="s">
        <v>108</v>
      </c>
      <c r="E305" s="23" t="s">
        <v>72</v>
      </c>
      <c r="F305" s="28">
        <v>2024</v>
      </c>
      <c r="G305" s="23" t="s">
        <v>61</v>
      </c>
      <c r="H305" s="23" t="s">
        <v>37</v>
      </c>
      <c r="I305" s="23" t="s">
        <v>38</v>
      </c>
      <c r="J305" s="46">
        <v>10000</v>
      </c>
      <c r="K305" s="4">
        <v>8</v>
      </c>
      <c r="L305" s="5">
        <v>0</v>
      </c>
      <c r="M305" s="46">
        <v>80000</v>
      </c>
      <c r="N305" s="46">
        <v>54869</v>
      </c>
      <c r="O305" s="46">
        <v>25131</v>
      </c>
      <c r="P305" s="6">
        <v>31.41</v>
      </c>
      <c r="Q305" s="33" t="s">
        <v>28</v>
      </c>
      <c r="R305" s="33" t="s">
        <v>45</v>
      </c>
      <c r="S305" s="33" t="s">
        <v>30</v>
      </c>
      <c r="T305" s="33" t="s">
        <v>41</v>
      </c>
      <c r="U305" s="39">
        <v>1</v>
      </c>
      <c r="V305" s="9"/>
    </row>
    <row r="306" spans="1:22" x14ac:dyDescent="0.35">
      <c r="A306" s="17" t="s">
        <v>399</v>
      </c>
      <c r="B306" s="7">
        <v>45002</v>
      </c>
      <c r="C306" s="22" t="s">
        <v>78</v>
      </c>
      <c r="D306" s="22" t="s">
        <v>65</v>
      </c>
      <c r="E306" s="22" t="s">
        <v>48</v>
      </c>
      <c r="F306" s="27">
        <v>2023</v>
      </c>
      <c r="G306" s="22" t="s">
        <v>25</v>
      </c>
      <c r="H306" s="22" t="s">
        <v>104</v>
      </c>
      <c r="I306" s="22" t="s">
        <v>50</v>
      </c>
      <c r="J306" s="45">
        <v>15000</v>
      </c>
      <c r="K306" s="1">
        <v>7</v>
      </c>
      <c r="L306" s="2">
        <v>0</v>
      </c>
      <c r="M306" s="45">
        <v>105000</v>
      </c>
      <c r="N306" s="45">
        <v>70816</v>
      </c>
      <c r="O306" s="45">
        <v>34184</v>
      </c>
      <c r="P306" s="3">
        <v>32.56</v>
      </c>
      <c r="Q306" s="32" t="s">
        <v>75</v>
      </c>
      <c r="R306" s="32" t="s">
        <v>76</v>
      </c>
      <c r="S306" s="32" t="s">
        <v>57</v>
      </c>
      <c r="T306" s="32" t="s">
        <v>31</v>
      </c>
      <c r="U306" s="38">
        <v>4</v>
      </c>
      <c r="V306" s="9"/>
    </row>
    <row r="307" spans="1:22" x14ac:dyDescent="0.35">
      <c r="A307" s="18" t="s">
        <v>400</v>
      </c>
      <c r="B307" s="8">
        <v>45596</v>
      </c>
      <c r="C307" s="23" t="s">
        <v>33</v>
      </c>
      <c r="D307" s="23" t="s">
        <v>23</v>
      </c>
      <c r="E307" s="23" t="s">
        <v>24</v>
      </c>
      <c r="F307" s="28">
        <v>2024</v>
      </c>
      <c r="G307" s="23" t="s">
        <v>25</v>
      </c>
      <c r="H307" s="23" t="s">
        <v>66</v>
      </c>
      <c r="I307" s="23" t="s">
        <v>38</v>
      </c>
      <c r="J307" s="46">
        <v>11000</v>
      </c>
      <c r="K307" s="4">
        <v>7</v>
      </c>
      <c r="L307" s="5">
        <v>0</v>
      </c>
      <c r="M307" s="46">
        <v>77000</v>
      </c>
      <c r="N307" s="46">
        <v>43051</v>
      </c>
      <c r="O307" s="46">
        <v>33949</v>
      </c>
      <c r="P307" s="6">
        <v>44.09</v>
      </c>
      <c r="Q307" s="33" t="s">
        <v>81</v>
      </c>
      <c r="R307" s="33" t="s">
        <v>56</v>
      </c>
      <c r="S307" s="33" t="s">
        <v>68</v>
      </c>
      <c r="T307" s="33" t="s">
        <v>41</v>
      </c>
      <c r="U307" s="39">
        <v>3</v>
      </c>
      <c r="V307" s="9"/>
    </row>
    <row r="308" spans="1:22" x14ac:dyDescent="0.35">
      <c r="A308" s="17" t="s">
        <v>401</v>
      </c>
      <c r="B308" s="7">
        <v>45231</v>
      </c>
      <c r="C308" s="22" t="s">
        <v>22</v>
      </c>
      <c r="D308" s="22" t="s">
        <v>110</v>
      </c>
      <c r="E308" s="22" t="s">
        <v>24</v>
      </c>
      <c r="F308" s="27">
        <v>2023</v>
      </c>
      <c r="G308" s="22" t="s">
        <v>61</v>
      </c>
      <c r="H308" s="22" t="s">
        <v>106</v>
      </c>
      <c r="I308" s="22" t="s">
        <v>38</v>
      </c>
      <c r="J308" s="45">
        <v>12000</v>
      </c>
      <c r="K308" s="1">
        <v>1</v>
      </c>
      <c r="L308" s="2">
        <v>5</v>
      </c>
      <c r="M308" s="45">
        <v>11400</v>
      </c>
      <c r="N308" s="45">
        <v>7378</v>
      </c>
      <c r="O308" s="45">
        <v>4022</v>
      </c>
      <c r="P308" s="3">
        <v>35.28</v>
      </c>
      <c r="Q308" s="32" t="s">
        <v>51</v>
      </c>
      <c r="R308" s="32" t="s">
        <v>56</v>
      </c>
      <c r="S308" s="32" t="s">
        <v>30</v>
      </c>
      <c r="T308" s="32" t="s">
        <v>31</v>
      </c>
      <c r="U308" s="38">
        <v>4</v>
      </c>
      <c r="V308" s="9"/>
    </row>
    <row r="309" spans="1:22" x14ac:dyDescent="0.35">
      <c r="A309" s="18" t="s">
        <v>402</v>
      </c>
      <c r="B309" s="8">
        <v>45016</v>
      </c>
      <c r="C309" s="23" t="s">
        <v>78</v>
      </c>
      <c r="D309" s="23" t="s">
        <v>65</v>
      </c>
      <c r="E309" s="23" t="s">
        <v>48</v>
      </c>
      <c r="F309" s="28">
        <v>2023</v>
      </c>
      <c r="G309" s="23" t="s">
        <v>43</v>
      </c>
      <c r="H309" s="23" t="s">
        <v>49</v>
      </c>
      <c r="I309" s="23" t="s">
        <v>50</v>
      </c>
      <c r="J309" s="46">
        <v>18000</v>
      </c>
      <c r="K309" s="4">
        <v>8</v>
      </c>
      <c r="L309" s="5">
        <v>0</v>
      </c>
      <c r="M309" s="46">
        <v>144000</v>
      </c>
      <c r="N309" s="46">
        <v>81574</v>
      </c>
      <c r="O309" s="46">
        <v>62426</v>
      </c>
      <c r="P309" s="6">
        <v>43.35</v>
      </c>
      <c r="Q309" s="33" t="s">
        <v>39</v>
      </c>
      <c r="R309" s="33" t="s">
        <v>56</v>
      </c>
      <c r="S309" s="33" t="s">
        <v>57</v>
      </c>
      <c r="T309" s="33" t="s">
        <v>41</v>
      </c>
      <c r="U309" s="39">
        <v>1</v>
      </c>
      <c r="V309" s="9"/>
    </row>
    <row r="310" spans="1:22" x14ac:dyDescent="0.35">
      <c r="A310" s="17" t="s">
        <v>403</v>
      </c>
      <c r="B310" s="7">
        <v>45242</v>
      </c>
      <c r="C310" s="22" t="s">
        <v>70</v>
      </c>
      <c r="D310" s="22" t="s">
        <v>110</v>
      </c>
      <c r="E310" s="22" t="s">
        <v>24</v>
      </c>
      <c r="F310" s="27">
        <v>2023</v>
      </c>
      <c r="G310" s="22" t="s">
        <v>61</v>
      </c>
      <c r="H310" s="22" t="s">
        <v>98</v>
      </c>
      <c r="I310" s="22" t="s">
        <v>63</v>
      </c>
      <c r="J310" s="45">
        <v>28000</v>
      </c>
      <c r="K310" s="1">
        <v>8</v>
      </c>
      <c r="L310" s="2">
        <v>15</v>
      </c>
      <c r="M310" s="45">
        <v>190400</v>
      </c>
      <c r="N310" s="45">
        <v>113298</v>
      </c>
      <c r="O310" s="45">
        <v>77102</v>
      </c>
      <c r="P310" s="3">
        <v>40.49</v>
      </c>
      <c r="Q310" s="32" t="s">
        <v>75</v>
      </c>
      <c r="R310" s="32" t="s">
        <v>67</v>
      </c>
      <c r="S310" s="32" t="s">
        <v>68</v>
      </c>
      <c r="T310" s="32" t="s">
        <v>41</v>
      </c>
      <c r="U310" s="38">
        <v>3</v>
      </c>
      <c r="V310" s="9"/>
    </row>
    <row r="311" spans="1:22" x14ac:dyDescent="0.35">
      <c r="A311" s="18" t="s">
        <v>404</v>
      </c>
      <c r="B311" s="8">
        <v>45118</v>
      </c>
      <c r="C311" s="23" t="s">
        <v>83</v>
      </c>
      <c r="D311" s="23" t="s">
        <v>71</v>
      </c>
      <c r="E311" s="23" t="s">
        <v>72</v>
      </c>
      <c r="F311" s="28">
        <v>2023</v>
      </c>
      <c r="G311" s="23" t="s">
        <v>43</v>
      </c>
      <c r="H311" s="23" t="s">
        <v>93</v>
      </c>
      <c r="I311" s="23" t="s">
        <v>63</v>
      </c>
      <c r="J311" s="46">
        <v>14000</v>
      </c>
      <c r="K311" s="4">
        <v>5</v>
      </c>
      <c r="L311" s="5">
        <v>5</v>
      </c>
      <c r="M311" s="46">
        <v>66500</v>
      </c>
      <c r="N311" s="46">
        <v>41832</v>
      </c>
      <c r="O311" s="46">
        <v>24668</v>
      </c>
      <c r="P311" s="6">
        <v>37.090000000000003</v>
      </c>
      <c r="Q311" s="33" t="s">
        <v>39</v>
      </c>
      <c r="R311" s="33" t="s">
        <v>45</v>
      </c>
      <c r="S311" s="33" t="s">
        <v>85</v>
      </c>
      <c r="T311" s="33" t="s">
        <v>31</v>
      </c>
      <c r="U311" s="39">
        <v>1</v>
      </c>
      <c r="V311" s="9"/>
    </row>
    <row r="312" spans="1:22" x14ac:dyDescent="0.35">
      <c r="A312" s="17" t="s">
        <v>405</v>
      </c>
      <c r="B312" s="7">
        <v>45014</v>
      </c>
      <c r="C312" s="22" t="s">
        <v>22</v>
      </c>
      <c r="D312" s="22" t="s">
        <v>65</v>
      </c>
      <c r="E312" s="22" t="s">
        <v>48</v>
      </c>
      <c r="F312" s="27">
        <v>2023</v>
      </c>
      <c r="G312" s="22" t="s">
        <v>25</v>
      </c>
      <c r="H312" s="22" t="s">
        <v>49</v>
      </c>
      <c r="I312" s="22" t="s">
        <v>50</v>
      </c>
      <c r="J312" s="45">
        <v>18000</v>
      </c>
      <c r="K312" s="1">
        <v>7</v>
      </c>
      <c r="L312" s="2">
        <v>20</v>
      </c>
      <c r="M312" s="45">
        <v>100800</v>
      </c>
      <c r="N312" s="45">
        <v>65546</v>
      </c>
      <c r="O312" s="45">
        <v>35254</v>
      </c>
      <c r="P312" s="3">
        <v>34.97</v>
      </c>
      <c r="Q312" s="32" t="s">
        <v>75</v>
      </c>
      <c r="R312" s="32" t="s">
        <v>76</v>
      </c>
      <c r="S312" s="32" t="s">
        <v>40</v>
      </c>
      <c r="T312" s="32" t="s">
        <v>41</v>
      </c>
      <c r="U312" s="38">
        <v>5</v>
      </c>
      <c r="V312" s="9"/>
    </row>
    <row r="313" spans="1:22" x14ac:dyDescent="0.35">
      <c r="A313" s="18" t="s">
        <v>406</v>
      </c>
      <c r="B313" s="8">
        <v>45168</v>
      </c>
      <c r="C313" s="23" t="s">
        <v>22</v>
      </c>
      <c r="D313" s="23" t="s">
        <v>108</v>
      </c>
      <c r="E313" s="23" t="s">
        <v>72</v>
      </c>
      <c r="F313" s="28">
        <v>2023</v>
      </c>
      <c r="G313" s="23" t="s">
        <v>36</v>
      </c>
      <c r="H313" s="23" t="s">
        <v>62</v>
      </c>
      <c r="I313" s="23" t="s">
        <v>63</v>
      </c>
      <c r="J313" s="46">
        <v>5000</v>
      </c>
      <c r="K313" s="4">
        <v>2</v>
      </c>
      <c r="L313" s="5">
        <v>5</v>
      </c>
      <c r="M313" s="46">
        <v>9500</v>
      </c>
      <c r="N313" s="46">
        <v>6683</v>
      </c>
      <c r="O313" s="46">
        <v>2817</v>
      </c>
      <c r="P313" s="6">
        <v>29.65</v>
      </c>
      <c r="Q313" s="33" t="s">
        <v>28</v>
      </c>
      <c r="R313" s="33" t="s">
        <v>29</v>
      </c>
      <c r="S313" s="33" t="s">
        <v>85</v>
      </c>
      <c r="T313" s="33" t="s">
        <v>31</v>
      </c>
      <c r="U313" s="39">
        <v>4</v>
      </c>
      <c r="V313" s="9"/>
    </row>
    <row r="314" spans="1:22" x14ac:dyDescent="0.35">
      <c r="A314" s="17" t="s">
        <v>407</v>
      </c>
      <c r="B314" s="7">
        <v>45104</v>
      </c>
      <c r="C314" s="22" t="s">
        <v>83</v>
      </c>
      <c r="D314" s="22" t="s">
        <v>87</v>
      </c>
      <c r="E314" s="22" t="s">
        <v>35</v>
      </c>
      <c r="F314" s="27">
        <v>2023</v>
      </c>
      <c r="G314" s="22" t="s">
        <v>36</v>
      </c>
      <c r="H314" s="22" t="s">
        <v>37</v>
      </c>
      <c r="I314" s="22" t="s">
        <v>38</v>
      </c>
      <c r="J314" s="45">
        <v>10000</v>
      </c>
      <c r="K314" s="1">
        <v>4</v>
      </c>
      <c r="L314" s="2">
        <v>0</v>
      </c>
      <c r="M314" s="45">
        <v>40000</v>
      </c>
      <c r="N314" s="45">
        <v>22290</v>
      </c>
      <c r="O314" s="45">
        <v>17710</v>
      </c>
      <c r="P314" s="3">
        <v>44.27</v>
      </c>
      <c r="Q314" s="32" t="s">
        <v>28</v>
      </c>
      <c r="R314" s="32" t="s">
        <v>67</v>
      </c>
      <c r="S314" s="32" t="s">
        <v>68</v>
      </c>
      <c r="T314" s="32" t="s">
        <v>41</v>
      </c>
      <c r="U314" s="38">
        <v>3</v>
      </c>
      <c r="V314" s="9"/>
    </row>
    <row r="315" spans="1:22" x14ac:dyDescent="0.35">
      <c r="A315" s="18" t="s">
        <v>408</v>
      </c>
      <c r="B315" s="8">
        <v>44995</v>
      </c>
      <c r="C315" s="23" t="s">
        <v>78</v>
      </c>
      <c r="D315" s="23" t="s">
        <v>65</v>
      </c>
      <c r="E315" s="23" t="s">
        <v>48</v>
      </c>
      <c r="F315" s="28">
        <v>2023</v>
      </c>
      <c r="G315" s="23" t="s">
        <v>43</v>
      </c>
      <c r="H315" s="23" t="s">
        <v>174</v>
      </c>
      <c r="I315" s="23" t="s">
        <v>27</v>
      </c>
      <c r="J315" s="46">
        <v>12000</v>
      </c>
      <c r="K315" s="4">
        <v>9</v>
      </c>
      <c r="L315" s="5">
        <v>5</v>
      </c>
      <c r="M315" s="46">
        <v>102600</v>
      </c>
      <c r="N315" s="46">
        <v>66059</v>
      </c>
      <c r="O315" s="46">
        <v>36541</v>
      </c>
      <c r="P315" s="6">
        <v>35.619999999999997</v>
      </c>
      <c r="Q315" s="33" t="s">
        <v>81</v>
      </c>
      <c r="R315" s="33" t="s">
        <v>29</v>
      </c>
      <c r="S315" s="33" t="s">
        <v>40</v>
      </c>
      <c r="T315" s="33" t="s">
        <v>41</v>
      </c>
      <c r="U315" s="39">
        <v>1</v>
      </c>
      <c r="V315" s="9"/>
    </row>
    <row r="316" spans="1:22" x14ac:dyDescent="0.35">
      <c r="A316" s="17" t="s">
        <v>409</v>
      </c>
      <c r="B316" s="7">
        <v>45351</v>
      </c>
      <c r="C316" s="22" t="s">
        <v>33</v>
      </c>
      <c r="D316" s="22" t="s">
        <v>74</v>
      </c>
      <c r="E316" s="22" t="s">
        <v>48</v>
      </c>
      <c r="F316" s="27">
        <v>2024</v>
      </c>
      <c r="G316" s="22" t="s">
        <v>43</v>
      </c>
      <c r="H316" s="22" t="s">
        <v>37</v>
      </c>
      <c r="I316" s="22" t="s">
        <v>38</v>
      </c>
      <c r="J316" s="45">
        <v>10000</v>
      </c>
      <c r="K316" s="1">
        <v>10</v>
      </c>
      <c r="L316" s="2">
        <v>10</v>
      </c>
      <c r="M316" s="45">
        <v>90000</v>
      </c>
      <c r="N316" s="45">
        <v>58415</v>
      </c>
      <c r="O316" s="45">
        <v>31585</v>
      </c>
      <c r="P316" s="3">
        <v>35.090000000000003</v>
      </c>
      <c r="Q316" s="32" t="s">
        <v>28</v>
      </c>
      <c r="R316" s="32" t="s">
        <v>76</v>
      </c>
      <c r="S316" s="32" t="s">
        <v>85</v>
      </c>
      <c r="T316" s="32" t="s">
        <v>41</v>
      </c>
      <c r="U316" s="38">
        <v>5</v>
      </c>
      <c r="V316" s="9"/>
    </row>
    <row r="317" spans="1:22" x14ac:dyDescent="0.35">
      <c r="A317" s="18" t="s">
        <v>410</v>
      </c>
      <c r="B317" s="8">
        <v>45279</v>
      </c>
      <c r="C317" s="23" t="s">
        <v>83</v>
      </c>
      <c r="D317" s="23" t="s">
        <v>97</v>
      </c>
      <c r="E317" s="23" t="s">
        <v>24</v>
      </c>
      <c r="F317" s="28">
        <v>2023</v>
      </c>
      <c r="G317" s="23" t="s">
        <v>36</v>
      </c>
      <c r="H317" s="23" t="s">
        <v>62</v>
      </c>
      <c r="I317" s="23" t="s">
        <v>63</v>
      </c>
      <c r="J317" s="46">
        <v>5000</v>
      </c>
      <c r="K317" s="4">
        <v>7</v>
      </c>
      <c r="L317" s="5">
        <v>15</v>
      </c>
      <c r="M317" s="46">
        <v>29750</v>
      </c>
      <c r="N317" s="46">
        <v>18818</v>
      </c>
      <c r="O317" s="46">
        <v>10932</v>
      </c>
      <c r="P317" s="6">
        <v>36.75</v>
      </c>
      <c r="Q317" s="33" t="s">
        <v>75</v>
      </c>
      <c r="R317" s="33" t="s">
        <v>67</v>
      </c>
      <c r="S317" s="33" t="s">
        <v>30</v>
      </c>
      <c r="T317" s="33" t="s">
        <v>41</v>
      </c>
      <c r="U317" s="39">
        <v>4</v>
      </c>
      <c r="V317" s="9"/>
    </row>
    <row r="318" spans="1:22" x14ac:dyDescent="0.35">
      <c r="A318" s="17" t="s">
        <v>411</v>
      </c>
      <c r="B318" s="7">
        <v>45074</v>
      </c>
      <c r="C318" s="22" t="s">
        <v>70</v>
      </c>
      <c r="D318" s="22" t="s">
        <v>116</v>
      </c>
      <c r="E318" s="22" t="s">
        <v>35</v>
      </c>
      <c r="F318" s="27">
        <v>2023</v>
      </c>
      <c r="G318" s="22" t="s">
        <v>25</v>
      </c>
      <c r="H318" s="22" t="s">
        <v>88</v>
      </c>
      <c r="I318" s="22" t="s">
        <v>55</v>
      </c>
      <c r="J318" s="45">
        <v>8000</v>
      </c>
      <c r="K318" s="1">
        <v>7</v>
      </c>
      <c r="L318" s="2">
        <v>0</v>
      </c>
      <c r="M318" s="45">
        <v>56000</v>
      </c>
      <c r="N318" s="45">
        <v>34568</v>
      </c>
      <c r="O318" s="45">
        <v>21432</v>
      </c>
      <c r="P318" s="3">
        <v>38.270000000000003</v>
      </c>
      <c r="Q318" s="32" t="s">
        <v>81</v>
      </c>
      <c r="R318" s="32" t="s">
        <v>56</v>
      </c>
      <c r="S318" s="32" t="s">
        <v>30</v>
      </c>
      <c r="T318" s="32" t="s">
        <v>41</v>
      </c>
      <c r="U318" s="38">
        <v>3</v>
      </c>
      <c r="V318" s="9"/>
    </row>
    <row r="319" spans="1:22" x14ac:dyDescent="0.35">
      <c r="A319" s="18" t="s">
        <v>412</v>
      </c>
      <c r="B319" s="8">
        <v>44947</v>
      </c>
      <c r="C319" s="23" t="s">
        <v>53</v>
      </c>
      <c r="D319" s="23" t="s">
        <v>47</v>
      </c>
      <c r="E319" s="23" t="s">
        <v>48</v>
      </c>
      <c r="F319" s="28">
        <v>2023</v>
      </c>
      <c r="G319" s="23" t="s">
        <v>61</v>
      </c>
      <c r="H319" s="23" t="s">
        <v>145</v>
      </c>
      <c r="I319" s="23" t="s">
        <v>50</v>
      </c>
      <c r="J319" s="46">
        <v>12000</v>
      </c>
      <c r="K319" s="4">
        <v>5</v>
      </c>
      <c r="L319" s="5">
        <v>0</v>
      </c>
      <c r="M319" s="46">
        <v>60000</v>
      </c>
      <c r="N319" s="46">
        <v>41597</v>
      </c>
      <c r="O319" s="46">
        <v>18403</v>
      </c>
      <c r="P319" s="6">
        <v>30.67</v>
      </c>
      <c r="Q319" s="33" t="s">
        <v>28</v>
      </c>
      <c r="R319" s="33" t="s">
        <v>56</v>
      </c>
      <c r="S319" s="33" t="s">
        <v>68</v>
      </c>
      <c r="T319" s="33" t="s">
        <v>41</v>
      </c>
      <c r="U319" s="39">
        <v>3</v>
      </c>
      <c r="V319" s="9"/>
    </row>
    <row r="320" spans="1:22" x14ac:dyDescent="0.35">
      <c r="A320" s="17" t="s">
        <v>413</v>
      </c>
      <c r="B320" s="7">
        <v>45202</v>
      </c>
      <c r="C320" s="22" t="s">
        <v>83</v>
      </c>
      <c r="D320" s="22" t="s">
        <v>23</v>
      </c>
      <c r="E320" s="22" t="s">
        <v>24</v>
      </c>
      <c r="F320" s="27">
        <v>2023</v>
      </c>
      <c r="G320" s="22" t="s">
        <v>61</v>
      </c>
      <c r="H320" s="22" t="s">
        <v>119</v>
      </c>
      <c r="I320" s="22" t="s">
        <v>63</v>
      </c>
      <c r="J320" s="45">
        <v>16000</v>
      </c>
      <c r="K320" s="1">
        <v>2</v>
      </c>
      <c r="L320" s="2">
        <v>0</v>
      </c>
      <c r="M320" s="45">
        <v>32000</v>
      </c>
      <c r="N320" s="45">
        <v>20003</v>
      </c>
      <c r="O320" s="45">
        <v>11997</v>
      </c>
      <c r="P320" s="3">
        <v>37.49</v>
      </c>
      <c r="Q320" s="32" t="s">
        <v>51</v>
      </c>
      <c r="R320" s="32" t="s">
        <v>67</v>
      </c>
      <c r="S320" s="32" t="s">
        <v>85</v>
      </c>
      <c r="T320" s="32" t="s">
        <v>31</v>
      </c>
      <c r="U320" s="38">
        <v>5</v>
      </c>
      <c r="V320" s="9"/>
    </row>
    <row r="321" spans="1:22" x14ac:dyDescent="0.35">
      <c r="A321" s="18" t="s">
        <v>414</v>
      </c>
      <c r="B321" s="8">
        <v>45089</v>
      </c>
      <c r="C321" s="23" t="s">
        <v>90</v>
      </c>
      <c r="D321" s="23" t="s">
        <v>87</v>
      </c>
      <c r="E321" s="23" t="s">
        <v>35</v>
      </c>
      <c r="F321" s="28">
        <v>2023</v>
      </c>
      <c r="G321" s="23" t="s">
        <v>36</v>
      </c>
      <c r="H321" s="23" t="s">
        <v>84</v>
      </c>
      <c r="I321" s="23" t="s">
        <v>27</v>
      </c>
      <c r="J321" s="46">
        <v>8000</v>
      </c>
      <c r="K321" s="4">
        <v>9</v>
      </c>
      <c r="L321" s="5">
        <v>5</v>
      </c>
      <c r="M321" s="46">
        <v>68400</v>
      </c>
      <c r="N321" s="46">
        <v>39197</v>
      </c>
      <c r="O321" s="46">
        <v>29203</v>
      </c>
      <c r="P321" s="6">
        <v>42.69</v>
      </c>
      <c r="Q321" s="33" t="s">
        <v>75</v>
      </c>
      <c r="R321" s="33" t="s">
        <v>29</v>
      </c>
      <c r="S321" s="33" t="s">
        <v>30</v>
      </c>
      <c r="T321" s="33" t="s">
        <v>31</v>
      </c>
      <c r="U321" s="39">
        <v>2</v>
      </c>
      <c r="V321" s="9"/>
    </row>
    <row r="322" spans="1:22" x14ac:dyDescent="0.35">
      <c r="A322" s="17" t="s">
        <v>415</v>
      </c>
      <c r="B322" s="7">
        <v>44986</v>
      </c>
      <c r="C322" s="22" t="s">
        <v>22</v>
      </c>
      <c r="D322" s="22" t="s">
        <v>65</v>
      </c>
      <c r="E322" s="22" t="s">
        <v>48</v>
      </c>
      <c r="F322" s="27">
        <v>2023</v>
      </c>
      <c r="G322" s="22" t="s">
        <v>25</v>
      </c>
      <c r="H322" s="22" t="s">
        <v>106</v>
      </c>
      <c r="I322" s="22" t="s">
        <v>38</v>
      </c>
      <c r="J322" s="45">
        <v>12000</v>
      </c>
      <c r="K322" s="1">
        <v>8</v>
      </c>
      <c r="L322" s="2">
        <v>0</v>
      </c>
      <c r="M322" s="45">
        <v>96000</v>
      </c>
      <c r="N322" s="45">
        <v>67782</v>
      </c>
      <c r="O322" s="45">
        <v>28218</v>
      </c>
      <c r="P322" s="3">
        <v>29.39</v>
      </c>
      <c r="Q322" s="32" t="s">
        <v>39</v>
      </c>
      <c r="R322" s="32" t="s">
        <v>45</v>
      </c>
      <c r="S322" s="32" t="s">
        <v>57</v>
      </c>
      <c r="T322" s="32" t="s">
        <v>41</v>
      </c>
      <c r="U322" s="38">
        <v>1</v>
      </c>
      <c r="V322" s="9"/>
    </row>
    <row r="323" spans="1:22" x14ac:dyDescent="0.35">
      <c r="A323" s="18" t="s">
        <v>416</v>
      </c>
      <c r="B323" s="8">
        <v>45624</v>
      </c>
      <c r="C323" s="23" t="s">
        <v>33</v>
      </c>
      <c r="D323" s="23" t="s">
        <v>110</v>
      </c>
      <c r="E323" s="23" t="s">
        <v>24</v>
      </c>
      <c r="F323" s="28">
        <v>2024</v>
      </c>
      <c r="G323" s="23" t="s">
        <v>61</v>
      </c>
      <c r="H323" s="23" t="s">
        <v>44</v>
      </c>
      <c r="I323" s="23" t="s">
        <v>27</v>
      </c>
      <c r="J323" s="46">
        <v>6000</v>
      </c>
      <c r="K323" s="4">
        <v>6</v>
      </c>
      <c r="L323" s="5">
        <v>5</v>
      </c>
      <c r="M323" s="46">
        <v>34200</v>
      </c>
      <c r="N323" s="46">
        <v>22264</v>
      </c>
      <c r="O323" s="46">
        <v>11936</v>
      </c>
      <c r="P323" s="6">
        <v>34.9</v>
      </c>
      <c r="Q323" s="33" t="s">
        <v>39</v>
      </c>
      <c r="R323" s="33" t="s">
        <v>67</v>
      </c>
      <c r="S323" s="33" t="s">
        <v>85</v>
      </c>
      <c r="T323" s="33" t="s">
        <v>41</v>
      </c>
      <c r="U323" s="39">
        <v>2</v>
      </c>
      <c r="V323" s="9"/>
    </row>
    <row r="324" spans="1:22" x14ac:dyDescent="0.35">
      <c r="A324" s="17" t="s">
        <v>417</v>
      </c>
      <c r="B324" s="7">
        <v>45191</v>
      </c>
      <c r="C324" s="22" t="s">
        <v>78</v>
      </c>
      <c r="D324" s="22" t="s">
        <v>79</v>
      </c>
      <c r="E324" s="22" t="s">
        <v>72</v>
      </c>
      <c r="F324" s="27">
        <v>2023</v>
      </c>
      <c r="G324" s="22" t="s">
        <v>36</v>
      </c>
      <c r="H324" s="22" t="s">
        <v>84</v>
      </c>
      <c r="I324" s="22" t="s">
        <v>27</v>
      </c>
      <c r="J324" s="45">
        <v>8000</v>
      </c>
      <c r="K324" s="1">
        <v>1</v>
      </c>
      <c r="L324" s="2">
        <v>5</v>
      </c>
      <c r="M324" s="45">
        <v>7600</v>
      </c>
      <c r="N324" s="45">
        <v>4244</v>
      </c>
      <c r="O324" s="45">
        <v>3356</v>
      </c>
      <c r="P324" s="3">
        <v>44.16</v>
      </c>
      <c r="Q324" s="32" t="s">
        <v>75</v>
      </c>
      <c r="R324" s="32" t="s">
        <v>56</v>
      </c>
      <c r="S324" s="32" t="s">
        <v>68</v>
      </c>
      <c r="T324" s="32" t="s">
        <v>31</v>
      </c>
      <c r="U324" s="38">
        <v>3</v>
      </c>
      <c r="V324" s="9"/>
    </row>
    <row r="325" spans="1:22" x14ac:dyDescent="0.35">
      <c r="A325" s="18" t="s">
        <v>418</v>
      </c>
      <c r="B325" s="8">
        <v>45594</v>
      </c>
      <c r="C325" s="23" t="s">
        <v>83</v>
      </c>
      <c r="D325" s="23" t="s">
        <v>23</v>
      </c>
      <c r="E325" s="23" t="s">
        <v>24</v>
      </c>
      <c r="F325" s="28">
        <v>2024</v>
      </c>
      <c r="G325" s="23" t="s">
        <v>36</v>
      </c>
      <c r="H325" s="23" t="s">
        <v>119</v>
      </c>
      <c r="I325" s="23" t="s">
        <v>63</v>
      </c>
      <c r="J325" s="46">
        <v>16000</v>
      </c>
      <c r="K325" s="4">
        <v>1</v>
      </c>
      <c r="L325" s="5">
        <v>20</v>
      </c>
      <c r="M325" s="46">
        <v>12800</v>
      </c>
      <c r="N325" s="46">
        <v>8738</v>
      </c>
      <c r="O325" s="46">
        <v>4062</v>
      </c>
      <c r="P325" s="6">
        <v>31.73</v>
      </c>
      <c r="Q325" s="33" t="s">
        <v>28</v>
      </c>
      <c r="R325" s="33" t="s">
        <v>67</v>
      </c>
      <c r="S325" s="33" t="s">
        <v>68</v>
      </c>
      <c r="T325" s="33" t="s">
        <v>31</v>
      </c>
      <c r="U325" s="39">
        <v>2</v>
      </c>
      <c r="V325" s="9"/>
    </row>
    <row r="326" spans="1:22" x14ac:dyDescent="0.35">
      <c r="A326" s="17" t="s">
        <v>419</v>
      </c>
      <c r="B326" s="7">
        <v>45185</v>
      </c>
      <c r="C326" s="22" t="s">
        <v>53</v>
      </c>
      <c r="D326" s="22" t="s">
        <v>79</v>
      </c>
      <c r="E326" s="22" t="s">
        <v>72</v>
      </c>
      <c r="F326" s="27">
        <v>2023</v>
      </c>
      <c r="G326" s="22" t="s">
        <v>36</v>
      </c>
      <c r="H326" s="22" t="s">
        <v>54</v>
      </c>
      <c r="I326" s="22" t="s">
        <v>55</v>
      </c>
      <c r="J326" s="45">
        <v>18000</v>
      </c>
      <c r="K326" s="1">
        <v>5</v>
      </c>
      <c r="L326" s="2">
        <v>5</v>
      </c>
      <c r="M326" s="45">
        <v>85500</v>
      </c>
      <c r="N326" s="45">
        <v>60041</v>
      </c>
      <c r="O326" s="45">
        <v>25459</v>
      </c>
      <c r="P326" s="3">
        <v>29.78</v>
      </c>
      <c r="Q326" s="32" t="s">
        <v>81</v>
      </c>
      <c r="R326" s="32" t="s">
        <v>67</v>
      </c>
      <c r="S326" s="32" t="s">
        <v>57</v>
      </c>
      <c r="T326" s="32" t="s">
        <v>41</v>
      </c>
      <c r="U326" s="38">
        <v>3</v>
      </c>
      <c r="V326" s="9"/>
    </row>
    <row r="327" spans="1:22" x14ac:dyDescent="0.35">
      <c r="A327" s="18" t="s">
        <v>420</v>
      </c>
      <c r="B327" s="8">
        <v>45620</v>
      </c>
      <c r="C327" s="23" t="s">
        <v>70</v>
      </c>
      <c r="D327" s="23" t="s">
        <v>110</v>
      </c>
      <c r="E327" s="23" t="s">
        <v>24</v>
      </c>
      <c r="F327" s="28">
        <v>2024</v>
      </c>
      <c r="G327" s="23" t="s">
        <v>61</v>
      </c>
      <c r="H327" s="23" t="s">
        <v>88</v>
      </c>
      <c r="I327" s="23" t="s">
        <v>55</v>
      </c>
      <c r="J327" s="46">
        <v>8000</v>
      </c>
      <c r="K327" s="4">
        <v>7</v>
      </c>
      <c r="L327" s="5">
        <v>10</v>
      </c>
      <c r="M327" s="46">
        <v>50400</v>
      </c>
      <c r="N327" s="46">
        <v>28597</v>
      </c>
      <c r="O327" s="46">
        <v>21803</v>
      </c>
      <c r="P327" s="6">
        <v>43.26</v>
      </c>
      <c r="Q327" s="33" t="s">
        <v>75</v>
      </c>
      <c r="R327" s="33" t="s">
        <v>45</v>
      </c>
      <c r="S327" s="33" t="s">
        <v>85</v>
      </c>
      <c r="T327" s="33" t="s">
        <v>41</v>
      </c>
      <c r="U327" s="39">
        <v>1</v>
      </c>
      <c r="V327" s="9"/>
    </row>
    <row r="328" spans="1:22" x14ac:dyDescent="0.35">
      <c r="A328" s="17" t="s">
        <v>421</v>
      </c>
      <c r="B328" s="7">
        <v>45420</v>
      </c>
      <c r="C328" s="22" t="s">
        <v>22</v>
      </c>
      <c r="D328" s="22" t="s">
        <v>116</v>
      </c>
      <c r="E328" s="22" t="s">
        <v>35</v>
      </c>
      <c r="F328" s="27">
        <v>2024</v>
      </c>
      <c r="G328" s="22" t="s">
        <v>36</v>
      </c>
      <c r="H328" s="22" t="s">
        <v>84</v>
      </c>
      <c r="I328" s="22" t="s">
        <v>27</v>
      </c>
      <c r="J328" s="45">
        <v>8000</v>
      </c>
      <c r="K328" s="1">
        <v>5</v>
      </c>
      <c r="L328" s="2">
        <v>15</v>
      </c>
      <c r="M328" s="45">
        <v>34000</v>
      </c>
      <c r="N328" s="45">
        <v>20579</v>
      </c>
      <c r="O328" s="45">
        <v>13421</v>
      </c>
      <c r="P328" s="3">
        <v>39.47</v>
      </c>
      <c r="Q328" s="32" t="s">
        <v>81</v>
      </c>
      <c r="R328" s="32" t="s">
        <v>45</v>
      </c>
      <c r="S328" s="32" t="s">
        <v>57</v>
      </c>
      <c r="T328" s="32" t="s">
        <v>31</v>
      </c>
      <c r="U328" s="38">
        <v>5</v>
      </c>
      <c r="V328" s="9"/>
    </row>
    <row r="329" spans="1:22" x14ac:dyDescent="0.35">
      <c r="A329" s="18" t="s">
        <v>422</v>
      </c>
      <c r="B329" s="8">
        <v>45173</v>
      </c>
      <c r="C329" s="23" t="s">
        <v>90</v>
      </c>
      <c r="D329" s="23" t="s">
        <v>79</v>
      </c>
      <c r="E329" s="23" t="s">
        <v>72</v>
      </c>
      <c r="F329" s="28">
        <v>2023</v>
      </c>
      <c r="G329" s="23" t="s">
        <v>61</v>
      </c>
      <c r="H329" s="23" t="s">
        <v>101</v>
      </c>
      <c r="I329" s="23" t="s">
        <v>27</v>
      </c>
      <c r="J329" s="46">
        <v>9000</v>
      </c>
      <c r="K329" s="4">
        <v>7</v>
      </c>
      <c r="L329" s="5">
        <v>15</v>
      </c>
      <c r="M329" s="46">
        <v>53550</v>
      </c>
      <c r="N329" s="46">
        <v>32362</v>
      </c>
      <c r="O329" s="46">
        <v>21188</v>
      </c>
      <c r="P329" s="6">
        <v>39.57</v>
      </c>
      <c r="Q329" s="33" t="s">
        <v>39</v>
      </c>
      <c r="R329" s="33" t="s">
        <v>76</v>
      </c>
      <c r="S329" s="33" t="s">
        <v>40</v>
      </c>
      <c r="T329" s="33" t="s">
        <v>41</v>
      </c>
      <c r="U329" s="39">
        <v>4</v>
      </c>
      <c r="V329" s="9"/>
    </row>
    <row r="330" spans="1:22" x14ac:dyDescent="0.35">
      <c r="A330" s="17" t="s">
        <v>423</v>
      </c>
      <c r="B330" s="7">
        <v>45341</v>
      </c>
      <c r="C330" s="22" t="s">
        <v>90</v>
      </c>
      <c r="D330" s="22" t="s">
        <v>74</v>
      </c>
      <c r="E330" s="22" t="s">
        <v>48</v>
      </c>
      <c r="F330" s="27">
        <v>2024</v>
      </c>
      <c r="G330" s="22" t="s">
        <v>25</v>
      </c>
      <c r="H330" s="22" t="s">
        <v>93</v>
      </c>
      <c r="I330" s="22" t="s">
        <v>63</v>
      </c>
      <c r="J330" s="45">
        <v>14000</v>
      </c>
      <c r="K330" s="1">
        <v>10</v>
      </c>
      <c r="L330" s="2">
        <v>15</v>
      </c>
      <c r="M330" s="45">
        <v>119000</v>
      </c>
      <c r="N330" s="45">
        <v>85574</v>
      </c>
      <c r="O330" s="45">
        <v>33426</v>
      </c>
      <c r="P330" s="3">
        <v>28.09</v>
      </c>
      <c r="Q330" s="32" t="s">
        <v>39</v>
      </c>
      <c r="R330" s="32" t="s">
        <v>45</v>
      </c>
      <c r="S330" s="32" t="s">
        <v>68</v>
      </c>
      <c r="T330" s="32" t="s">
        <v>41</v>
      </c>
      <c r="U330" s="38">
        <v>5</v>
      </c>
      <c r="V330" s="9"/>
    </row>
    <row r="331" spans="1:22" x14ac:dyDescent="0.35">
      <c r="A331" s="18" t="s">
        <v>424</v>
      </c>
      <c r="B331" s="8">
        <v>45234</v>
      </c>
      <c r="C331" s="23" t="s">
        <v>53</v>
      </c>
      <c r="D331" s="23" t="s">
        <v>110</v>
      </c>
      <c r="E331" s="23" t="s">
        <v>24</v>
      </c>
      <c r="F331" s="28">
        <v>2023</v>
      </c>
      <c r="G331" s="23" t="s">
        <v>36</v>
      </c>
      <c r="H331" s="23" t="s">
        <v>66</v>
      </c>
      <c r="I331" s="23" t="s">
        <v>38</v>
      </c>
      <c r="J331" s="46">
        <v>11000</v>
      </c>
      <c r="K331" s="4">
        <v>3</v>
      </c>
      <c r="L331" s="5">
        <v>0</v>
      </c>
      <c r="M331" s="46">
        <v>33000</v>
      </c>
      <c r="N331" s="46">
        <v>18698</v>
      </c>
      <c r="O331" s="46">
        <v>14302</v>
      </c>
      <c r="P331" s="6">
        <v>43.34</v>
      </c>
      <c r="Q331" s="33" t="s">
        <v>39</v>
      </c>
      <c r="R331" s="33" t="s">
        <v>45</v>
      </c>
      <c r="S331" s="33" t="s">
        <v>85</v>
      </c>
      <c r="T331" s="33" t="s">
        <v>41</v>
      </c>
      <c r="U331" s="39">
        <v>1</v>
      </c>
      <c r="V331" s="9"/>
    </row>
    <row r="332" spans="1:22" x14ac:dyDescent="0.35">
      <c r="A332" s="17" t="s">
        <v>425</v>
      </c>
      <c r="B332" s="7">
        <v>45154</v>
      </c>
      <c r="C332" s="22" t="s">
        <v>22</v>
      </c>
      <c r="D332" s="22" t="s">
        <v>108</v>
      </c>
      <c r="E332" s="22" t="s">
        <v>72</v>
      </c>
      <c r="F332" s="27">
        <v>2023</v>
      </c>
      <c r="G332" s="22" t="s">
        <v>61</v>
      </c>
      <c r="H332" s="22" t="s">
        <v>104</v>
      </c>
      <c r="I332" s="22" t="s">
        <v>50</v>
      </c>
      <c r="J332" s="45">
        <v>15000</v>
      </c>
      <c r="K332" s="1">
        <v>5</v>
      </c>
      <c r="L332" s="2">
        <v>5</v>
      </c>
      <c r="M332" s="45">
        <v>71250</v>
      </c>
      <c r="N332" s="45">
        <v>48733</v>
      </c>
      <c r="O332" s="45">
        <v>22517</v>
      </c>
      <c r="P332" s="3">
        <v>31.6</v>
      </c>
      <c r="Q332" s="32" t="s">
        <v>81</v>
      </c>
      <c r="R332" s="32" t="s">
        <v>45</v>
      </c>
      <c r="S332" s="32" t="s">
        <v>57</v>
      </c>
      <c r="T332" s="32" t="s">
        <v>41</v>
      </c>
      <c r="U332" s="38">
        <v>1</v>
      </c>
      <c r="V332" s="9"/>
    </row>
    <row r="333" spans="1:22" x14ac:dyDescent="0.35">
      <c r="A333" s="18" t="s">
        <v>426</v>
      </c>
      <c r="B333" s="8">
        <v>45408</v>
      </c>
      <c r="C333" s="23" t="s">
        <v>78</v>
      </c>
      <c r="D333" s="23" t="s">
        <v>34</v>
      </c>
      <c r="E333" s="23" t="s">
        <v>35</v>
      </c>
      <c r="F333" s="28">
        <v>2024</v>
      </c>
      <c r="G333" s="23" t="s">
        <v>25</v>
      </c>
      <c r="H333" s="23" t="s">
        <v>101</v>
      </c>
      <c r="I333" s="23" t="s">
        <v>27</v>
      </c>
      <c r="J333" s="46">
        <v>9000</v>
      </c>
      <c r="K333" s="4">
        <v>10</v>
      </c>
      <c r="L333" s="5">
        <v>10</v>
      </c>
      <c r="M333" s="46">
        <v>81000</v>
      </c>
      <c r="N333" s="46">
        <v>45531</v>
      </c>
      <c r="O333" s="46">
        <v>35469</v>
      </c>
      <c r="P333" s="6">
        <v>43.79</v>
      </c>
      <c r="Q333" s="33" t="s">
        <v>39</v>
      </c>
      <c r="R333" s="33" t="s">
        <v>29</v>
      </c>
      <c r="S333" s="33" t="s">
        <v>30</v>
      </c>
      <c r="T333" s="33" t="s">
        <v>41</v>
      </c>
      <c r="U333" s="39">
        <v>4</v>
      </c>
      <c r="V333" s="9"/>
    </row>
    <row r="334" spans="1:22" x14ac:dyDescent="0.35">
      <c r="A334" s="17" t="s">
        <v>427</v>
      </c>
      <c r="B334" s="7">
        <v>44982</v>
      </c>
      <c r="C334" s="22" t="s">
        <v>53</v>
      </c>
      <c r="D334" s="22" t="s">
        <v>74</v>
      </c>
      <c r="E334" s="22" t="s">
        <v>48</v>
      </c>
      <c r="F334" s="27">
        <v>2023</v>
      </c>
      <c r="G334" s="22" t="s">
        <v>61</v>
      </c>
      <c r="H334" s="22" t="s">
        <v>37</v>
      </c>
      <c r="I334" s="22" t="s">
        <v>38</v>
      </c>
      <c r="J334" s="45">
        <v>10000</v>
      </c>
      <c r="K334" s="1">
        <v>4</v>
      </c>
      <c r="L334" s="2">
        <v>0</v>
      </c>
      <c r="M334" s="45">
        <v>40000</v>
      </c>
      <c r="N334" s="45">
        <v>24783</v>
      </c>
      <c r="O334" s="45">
        <v>15217</v>
      </c>
      <c r="P334" s="3">
        <v>38.04</v>
      </c>
      <c r="Q334" s="32" t="s">
        <v>75</v>
      </c>
      <c r="R334" s="32" t="s">
        <v>67</v>
      </c>
      <c r="S334" s="32" t="s">
        <v>68</v>
      </c>
      <c r="T334" s="32" t="s">
        <v>31</v>
      </c>
      <c r="U334" s="38">
        <v>1</v>
      </c>
      <c r="V334" s="9"/>
    </row>
    <row r="335" spans="1:22" x14ac:dyDescent="0.35">
      <c r="A335" s="18" t="s">
        <v>428</v>
      </c>
      <c r="B335" s="8">
        <v>45426</v>
      </c>
      <c r="C335" s="23" t="s">
        <v>83</v>
      </c>
      <c r="D335" s="23" t="s">
        <v>116</v>
      </c>
      <c r="E335" s="23" t="s">
        <v>35</v>
      </c>
      <c r="F335" s="28">
        <v>2024</v>
      </c>
      <c r="G335" s="23" t="s">
        <v>36</v>
      </c>
      <c r="H335" s="23" t="s">
        <v>104</v>
      </c>
      <c r="I335" s="23" t="s">
        <v>50</v>
      </c>
      <c r="J335" s="46">
        <v>15000</v>
      </c>
      <c r="K335" s="4">
        <v>6</v>
      </c>
      <c r="L335" s="5">
        <v>15</v>
      </c>
      <c r="M335" s="46">
        <v>76500</v>
      </c>
      <c r="N335" s="46">
        <v>42829</v>
      </c>
      <c r="O335" s="46">
        <v>33671</v>
      </c>
      <c r="P335" s="6">
        <v>44.01</v>
      </c>
      <c r="Q335" s="33" t="s">
        <v>51</v>
      </c>
      <c r="R335" s="33" t="s">
        <v>45</v>
      </c>
      <c r="S335" s="33" t="s">
        <v>68</v>
      </c>
      <c r="T335" s="33" t="s">
        <v>31</v>
      </c>
      <c r="U335" s="39">
        <v>4</v>
      </c>
      <c r="V335" s="9"/>
    </row>
    <row r="336" spans="1:22" x14ac:dyDescent="0.35">
      <c r="A336" s="17" t="s">
        <v>429</v>
      </c>
      <c r="B336" s="7">
        <v>45017</v>
      </c>
      <c r="C336" s="22" t="s">
        <v>53</v>
      </c>
      <c r="D336" s="22" t="s">
        <v>34</v>
      </c>
      <c r="E336" s="22" t="s">
        <v>35</v>
      </c>
      <c r="F336" s="27">
        <v>2023</v>
      </c>
      <c r="G336" s="22" t="s">
        <v>43</v>
      </c>
      <c r="H336" s="22" t="s">
        <v>66</v>
      </c>
      <c r="I336" s="22" t="s">
        <v>38</v>
      </c>
      <c r="J336" s="45">
        <v>11000</v>
      </c>
      <c r="K336" s="1">
        <v>7</v>
      </c>
      <c r="L336" s="2">
        <v>15</v>
      </c>
      <c r="M336" s="45">
        <v>65450</v>
      </c>
      <c r="N336" s="45">
        <v>40775</v>
      </c>
      <c r="O336" s="45">
        <v>24675</v>
      </c>
      <c r="P336" s="3">
        <v>37.700000000000003</v>
      </c>
      <c r="Q336" s="32" t="s">
        <v>51</v>
      </c>
      <c r="R336" s="32" t="s">
        <v>67</v>
      </c>
      <c r="S336" s="32" t="s">
        <v>40</v>
      </c>
      <c r="T336" s="32" t="s">
        <v>31</v>
      </c>
      <c r="U336" s="38">
        <v>5</v>
      </c>
      <c r="V336" s="9"/>
    </row>
    <row r="337" spans="1:22" x14ac:dyDescent="0.35">
      <c r="A337" s="18" t="s">
        <v>430</v>
      </c>
      <c r="B337" s="8">
        <v>45131</v>
      </c>
      <c r="C337" s="23" t="s">
        <v>90</v>
      </c>
      <c r="D337" s="23" t="s">
        <v>71</v>
      </c>
      <c r="E337" s="23" t="s">
        <v>72</v>
      </c>
      <c r="F337" s="28">
        <v>2023</v>
      </c>
      <c r="G337" s="23" t="s">
        <v>36</v>
      </c>
      <c r="H337" s="23" t="s">
        <v>117</v>
      </c>
      <c r="I337" s="23" t="s">
        <v>50</v>
      </c>
      <c r="J337" s="46">
        <v>8000</v>
      </c>
      <c r="K337" s="4">
        <v>6</v>
      </c>
      <c r="L337" s="5">
        <v>20</v>
      </c>
      <c r="M337" s="46">
        <v>38400</v>
      </c>
      <c r="N337" s="46">
        <v>26559</v>
      </c>
      <c r="O337" s="46">
        <v>11841</v>
      </c>
      <c r="P337" s="6">
        <v>30.84</v>
      </c>
      <c r="Q337" s="33" t="s">
        <v>39</v>
      </c>
      <c r="R337" s="33" t="s">
        <v>76</v>
      </c>
      <c r="S337" s="33" t="s">
        <v>30</v>
      </c>
      <c r="T337" s="33" t="s">
        <v>31</v>
      </c>
      <c r="U337" s="39">
        <v>3</v>
      </c>
      <c r="V337" s="9"/>
    </row>
    <row r="338" spans="1:22" x14ac:dyDescent="0.35">
      <c r="A338" s="17" t="s">
        <v>431</v>
      </c>
      <c r="B338" s="7">
        <v>45246</v>
      </c>
      <c r="C338" s="22" t="s">
        <v>33</v>
      </c>
      <c r="D338" s="22" t="s">
        <v>110</v>
      </c>
      <c r="E338" s="22" t="s">
        <v>24</v>
      </c>
      <c r="F338" s="27">
        <v>2023</v>
      </c>
      <c r="G338" s="22" t="s">
        <v>61</v>
      </c>
      <c r="H338" s="22" t="s">
        <v>106</v>
      </c>
      <c r="I338" s="22" t="s">
        <v>38</v>
      </c>
      <c r="J338" s="45">
        <v>12000</v>
      </c>
      <c r="K338" s="1">
        <v>7</v>
      </c>
      <c r="L338" s="2">
        <v>10</v>
      </c>
      <c r="M338" s="45">
        <v>75600</v>
      </c>
      <c r="N338" s="45">
        <v>49146</v>
      </c>
      <c r="O338" s="45">
        <v>26454</v>
      </c>
      <c r="P338" s="3">
        <v>34.99</v>
      </c>
      <c r="Q338" s="32" t="s">
        <v>39</v>
      </c>
      <c r="R338" s="32" t="s">
        <v>76</v>
      </c>
      <c r="S338" s="32" t="s">
        <v>30</v>
      </c>
      <c r="T338" s="32" t="s">
        <v>41</v>
      </c>
      <c r="U338" s="38">
        <v>4</v>
      </c>
      <c r="V338" s="9"/>
    </row>
    <row r="339" spans="1:22" x14ac:dyDescent="0.35">
      <c r="A339" s="18" t="s">
        <v>432</v>
      </c>
      <c r="B339" s="8">
        <v>45459</v>
      </c>
      <c r="C339" s="23" t="s">
        <v>70</v>
      </c>
      <c r="D339" s="23" t="s">
        <v>87</v>
      </c>
      <c r="E339" s="23" t="s">
        <v>35</v>
      </c>
      <c r="F339" s="28">
        <v>2024</v>
      </c>
      <c r="G339" s="23" t="s">
        <v>61</v>
      </c>
      <c r="H339" s="23" t="s">
        <v>88</v>
      </c>
      <c r="I339" s="23" t="s">
        <v>55</v>
      </c>
      <c r="J339" s="46">
        <v>8000</v>
      </c>
      <c r="K339" s="4">
        <v>6</v>
      </c>
      <c r="L339" s="5">
        <v>5</v>
      </c>
      <c r="M339" s="46">
        <v>45600</v>
      </c>
      <c r="N339" s="46">
        <v>31964</v>
      </c>
      <c r="O339" s="46">
        <v>13636</v>
      </c>
      <c r="P339" s="6">
        <v>29.9</v>
      </c>
      <c r="Q339" s="33" t="s">
        <v>39</v>
      </c>
      <c r="R339" s="33" t="s">
        <v>45</v>
      </c>
      <c r="S339" s="33" t="s">
        <v>40</v>
      </c>
      <c r="T339" s="33" t="s">
        <v>31</v>
      </c>
      <c r="U339" s="39">
        <v>2</v>
      </c>
      <c r="V339" s="9"/>
    </row>
    <row r="340" spans="1:22" x14ac:dyDescent="0.35">
      <c r="A340" s="17" t="s">
        <v>433</v>
      </c>
      <c r="B340" s="7">
        <v>45340</v>
      </c>
      <c r="C340" s="22" t="s">
        <v>70</v>
      </c>
      <c r="D340" s="22" t="s">
        <v>74</v>
      </c>
      <c r="E340" s="22" t="s">
        <v>48</v>
      </c>
      <c r="F340" s="27">
        <v>2024</v>
      </c>
      <c r="G340" s="22" t="s">
        <v>36</v>
      </c>
      <c r="H340" s="22" t="s">
        <v>44</v>
      </c>
      <c r="I340" s="22" t="s">
        <v>27</v>
      </c>
      <c r="J340" s="45">
        <v>6000</v>
      </c>
      <c r="K340" s="1">
        <v>4</v>
      </c>
      <c r="L340" s="2">
        <v>15</v>
      </c>
      <c r="M340" s="45">
        <v>20400</v>
      </c>
      <c r="N340" s="45">
        <v>14636</v>
      </c>
      <c r="O340" s="45">
        <v>5764</v>
      </c>
      <c r="P340" s="3">
        <v>28.25</v>
      </c>
      <c r="Q340" s="32" t="s">
        <v>39</v>
      </c>
      <c r="R340" s="32" t="s">
        <v>76</v>
      </c>
      <c r="S340" s="32" t="s">
        <v>85</v>
      </c>
      <c r="T340" s="32" t="s">
        <v>31</v>
      </c>
      <c r="U340" s="38">
        <v>3</v>
      </c>
      <c r="V340" s="9"/>
    </row>
    <row r="341" spans="1:22" x14ac:dyDescent="0.35">
      <c r="A341" s="18" t="s">
        <v>434</v>
      </c>
      <c r="B341" s="8">
        <v>45655</v>
      </c>
      <c r="C341" s="23" t="s">
        <v>70</v>
      </c>
      <c r="D341" s="23" t="s">
        <v>97</v>
      </c>
      <c r="E341" s="23" t="s">
        <v>24</v>
      </c>
      <c r="F341" s="28">
        <v>2024</v>
      </c>
      <c r="G341" s="23" t="s">
        <v>43</v>
      </c>
      <c r="H341" s="23" t="s">
        <v>174</v>
      </c>
      <c r="I341" s="23" t="s">
        <v>27</v>
      </c>
      <c r="J341" s="46">
        <v>12000</v>
      </c>
      <c r="K341" s="4">
        <v>5</v>
      </c>
      <c r="L341" s="5">
        <v>20</v>
      </c>
      <c r="M341" s="46">
        <v>48000</v>
      </c>
      <c r="N341" s="46">
        <v>30763</v>
      </c>
      <c r="O341" s="46">
        <v>17237</v>
      </c>
      <c r="P341" s="6">
        <v>35.909999999999997</v>
      </c>
      <c r="Q341" s="33" t="s">
        <v>28</v>
      </c>
      <c r="R341" s="33" t="s">
        <v>29</v>
      </c>
      <c r="S341" s="33" t="s">
        <v>30</v>
      </c>
      <c r="T341" s="33" t="s">
        <v>31</v>
      </c>
      <c r="U341" s="39">
        <v>1</v>
      </c>
      <c r="V341" s="9"/>
    </row>
    <row r="342" spans="1:22" x14ac:dyDescent="0.35">
      <c r="A342" s="17" t="s">
        <v>435</v>
      </c>
      <c r="B342" s="7">
        <v>45633</v>
      </c>
      <c r="C342" s="22" t="s">
        <v>53</v>
      </c>
      <c r="D342" s="22" t="s">
        <v>97</v>
      </c>
      <c r="E342" s="22" t="s">
        <v>24</v>
      </c>
      <c r="F342" s="27">
        <v>2024</v>
      </c>
      <c r="G342" s="22" t="s">
        <v>36</v>
      </c>
      <c r="H342" s="22" t="s">
        <v>174</v>
      </c>
      <c r="I342" s="22" t="s">
        <v>27</v>
      </c>
      <c r="J342" s="45">
        <v>12000</v>
      </c>
      <c r="K342" s="1">
        <v>8</v>
      </c>
      <c r="L342" s="2">
        <v>5</v>
      </c>
      <c r="M342" s="45">
        <v>91200</v>
      </c>
      <c r="N342" s="45">
        <v>52076</v>
      </c>
      <c r="O342" s="45">
        <v>39124</v>
      </c>
      <c r="P342" s="3">
        <v>42.9</v>
      </c>
      <c r="Q342" s="32" t="s">
        <v>81</v>
      </c>
      <c r="R342" s="32" t="s">
        <v>67</v>
      </c>
      <c r="S342" s="32" t="s">
        <v>68</v>
      </c>
      <c r="T342" s="32" t="s">
        <v>31</v>
      </c>
      <c r="U342" s="38">
        <v>3</v>
      </c>
      <c r="V342" s="9"/>
    </row>
    <row r="343" spans="1:22" x14ac:dyDescent="0.35">
      <c r="A343" s="18" t="s">
        <v>436</v>
      </c>
      <c r="B343" s="8">
        <v>45357</v>
      </c>
      <c r="C343" s="23" t="s">
        <v>22</v>
      </c>
      <c r="D343" s="23" t="s">
        <v>65</v>
      </c>
      <c r="E343" s="23" t="s">
        <v>48</v>
      </c>
      <c r="F343" s="28">
        <v>2024</v>
      </c>
      <c r="G343" s="23" t="s">
        <v>43</v>
      </c>
      <c r="H343" s="23" t="s">
        <v>101</v>
      </c>
      <c r="I343" s="23" t="s">
        <v>27</v>
      </c>
      <c r="J343" s="46">
        <v>9000</v>
      </c>
      <c r="K343" s="4">
        <v>5</v>
      </c>
      <c r="L343" s="5">
        <v>10</v>
      </c>
      <c r="M343" s="46">
        <v>40500</v>
      </c>
      <c r="N343" s="46">
        <v>26445</v>
      </c>
      <c r="O343" s="46">
        <v>14055</v>
      </c>
      <c r="P343" s="6">
        <v>34.700000000000003</v>
      </c>
      <c r="Q343" s="33" t="s">
        <v>39</v>
      </c>
      <c r="R343" s="33" t="s">
        <v>67</v>
      </c>
      <c r="S343" s="33" t="s">
        <v>30</v>
      </c>
      <c r="T343" s="33" t="s">
        <v>41</v>
      </c>
      <c r="U343" s="39">
        <v>1</v>
      </c>
      <c r="V343" s="9"/>
    </row>
    <row r="344" spans="1:22" x14ac:dyDescent="0.35">
      <c r="A344" s="17" t="s">
        <v>437</v>
      </c>
      <c r="B344" s="7">
        <v>45035</v>
      </c>
      <c r="C344" s="22" t="s">
        <v>22</v>
      </c>
      <c r="D344" s="22" t="s">
        <v>34</v>
      </c>
      <c r="E344" s="22" t="s">
        <v>35</v>
      </c>
      <c r="F344" s="27">
        <v>2023</v>
      </c>
      <c r="G344" s="22" t="s">
        <v>25</v>
      </c>
      <c r="H344" s="22" t="s">
        <v>131</v>
      </c>
      <c r="I344" s="22" t="s">
        <v>63</v>
      </c>
      <c r="J344" s="45">
        <v>10000</v>
      </c>
      <c r="K344" s="1">
        <v>10</v>
      </c>
      <c r="L344" s="2">
        <v>0</v>
      </c>
      <c r="M344" s="45">
        <v>100000</v>
      </c>
      <c r="N344" s="45">
        <v>68225</v>
      </c>
      <c r="O344" s="45">
        <v>31775</v>
      </c>
      <c r="P344" s="3">
        <v>31.77</v>
      </c>
      <c r="Q344" s="32" t="s">
        <v>75</v>
      </c>
      <c r="R344" s="32" t="s">
        <v>56</v>
      </c>
      <c r="S344" s="32" t="s">
        <v>57</v>
      </c>
      <c r="T344" s="32" t="s">
        <v>41</v>
      </c>
      <c r="U344" s="38">
        <v>2</v>
      </c>
      <c r="V344" s="9"/>
    </row>
    <row r="345" spans="1:22" x14ac:dyDescent="0.35">
      <c r="A345" s="18" t="s">
        <v>438</v>
      </c>
      <c r="B345" s="8">
        <v>44967</v>
      </c>
      <c r="C345" s="23" t="s">
        <v>78</v>
      </c>
      <c r="D345" s="23" t="s">
        <v>74</v>
      </c>
      <c r="E345" s="23" t="s">
        <v>48</v>
      </c>
      <c r="F345" s="28">
        <v>2023</v>
      </c>
      <c r="G345" s="23" t="s">
        <v>43</v>
      </c>
      <c r="H345" s="23" t="s">
        <v>126</v>
      </c>
      <c r="I345" s="23" t="s">
        <v>55</v>
      </c>
      <c r="J345" s="46">
        <v>12000</v>
      </c>
      <c r="K345" s="4">
        <v>4</v>
      </c>
      <c r="L345" s="5">
        <v>15</v>
      </c>
      <c r="M345" s="46">
        <v>40800</v>
      </c>
      <c r="N345" s="46">
        <v>28912</v>
      </c>
      <c r="O345" s="46">
        <v>11888</v>
      </c>
      <c r="P345" s="6">
        <v>29.14</v>
      </c>
      <c r="Q345" s="33" t="s">
        <v>81</v>
      </c>
      <c r="R345" s="33" t="s">
        <v>56</v>
      </c>
      <c r="S345" s="33" t="s">
        <v>30</v>
      </c>
      <c r="T345" s="33" t="s">
        <v>31</v>
      </c>
      <c r="U345" s="39">
        <v>1</v>
      </c>
      <c r="V345" s="9"/>
    </row>
    <row r="346" spans="1:22" x14ac:dyDescent="0.35">
      <c r="A346" s="17" t="s">
        <v>439</v>
      </c>
      <c r="B346" s="7">
        <v>45514</v>
      </c>
      <c r="C346" s="22" t="s">
        <v>53</v>
      </c>
      <c r="D346" s="22" t="s">
        <v>108</v>
      </c>
      <c r="E346" s="22" t="s">
        <v>72</v>
      </c>
      <c r="F346" s="27">
        <v>2024</v>
      </c>
      <c r="G346" s="22" t="s">
        <v>25</v>
      </c>
      <c r="H346" s="22" t="s">
        <v>131</v>
      </c>
      <c r="I346" s="22" t="s">
        <v>63</v>
      </c>
      <c r="J346" s="45">
        <v>10000</v>
      </c>
      <c r="K346" s="1">
        <v>2</v>
      </c>
      <c r="L346" s="2">
        <v>20</v>
      </c>
      <c r="M346" s="45">
        <v>16000</v>
      </c>
      <c r="N346" s="45">
        <v>10192</v>
      </c>
      <c r="O346" s="45">
        <v>5808</v>
      </c>
      <c r="P346" s="3">
        <v>36.299999999999997</v>
      </c>
      <c r="Q346" s="32" t="s">
        <v>28</v>
      </c>
      <c r="R346" s="32" t="s">
        <v>45</v>
      </c>
      <c r="S346" s="32" t="s">
        <v>68</v>
      </c>
      <c r="T346" s="32" t="s">
        <v>41</v>
      </c>
      <c r="U346" s="38">
        <v>3</v>
      </c>
      <c r="V346" s="9"/>
    </row>
    <row r="347" spans="1:22" x14ac:dyDescent="0.35">
      <c r="A347" s="18" t="s">
        <v>440</v>
      </c>
      <c r="B347" s="8">
        <v>45402</v>
      </c>
      <c r="C347" s="23" t="s">
        <v>53</v>
      </c>
      <c r="D347" s="23" t="s">
        <v>34</v>
      </c>
      <c r="E347" s="23" t="s">
        <v>35</v>
      </c>
      <c r="F347" s="28">
        <v>2024</v>
      </c>
      <c r="G347" s="23" t="s">
        <v>25</v>
      </c>
      <c r="H347" s="23" t="s">
        <v>26</v>
      </c>
      <c r="I347" s="23" t="s">
        <v>27</v>
      </c>
      <c r="J347" s="46">
        <v>5000</v>
      </c>
      <c r="K347" s="4">
        <v>3</v>
      </c>
      <c r="L347" s="5">
        <v>20</v>
      </c>
      <c r="M347" s="46">
        <v>12000</v>
      </c>
      <c r="N347" s="46">
        <v>6680</v>
      </c>
      <c r="O347" s="46">
        <v>5320</v>
      </c>
      <c r="P347" s="6">
        <v>44.33</v>
      </c>
      <c r="Q347" s="33" t="s">
        <v>81</v>
      </c>
      <c r="R347" s="33" t="s">
        <v>45</v>
      </c>
      <c r="S347" s="33" t="s">
        <v>57</v>
      </c>
      <c r="T347" s="33" t="s">
        <v>31</v>
      </c>
      <c r="U347" s="39">
        <v>1</v>
      </c>
      <c r="V347" s="9"/>
    </row>
    <row r="348" spans="1:22" x14ac:dyDescent="0.35">
      <c r="A348" s="17" t="s">
        <v>441</v>
      </c>
      <c r="B348" s="7">
        <v>44973</v>
      </c>
      <c r="C348" s="22" t="s">
        <v>33</v>
      </c>
      <c r="D348" s="22" t="s">
        <v>74</v>
      </c>
      <c r="E348" s="22" t="s">
        <v>48</v>
      </c>
      <c r="F348" s="27">
        <v>2023</v>
      </c>
      <c r="G348" s="22" t="s">
        <v>43</v>
      </c>
      <c r="H348" s="22" t="s">
        <v>44</v>
      </c>
      <c r="I348" s="22" t="s">
        <v>27</v>
      </c>
      <c r="J348" s="45">
        <v>6000</v>
      </c>
      <c r="K348" s="1">
        <v>3</v>
      </c>
      <c r="L348" s="2">
        <v>0</v>
      </c>
      <c r="M348" s="45">
        <v>18000</v>
      </c>
      <c r="N348" s="45">
        <v>10994</v>
      </c>
      <c r="O348" s="45">
        <v>7006</v>
      </c>
      <c r="P348" s="3">
        <v>38.92</v>
      </c>
      <c r="Q348" s="32" t="s">
        <v>51</v>
      </c>
      <c r="R348" s="32" t="s">
        <v>29</v>
      </c>
      <c r="S348" s="32" t="s">
        <v>57</v>
      </c>
      <c r="T348" s="32" t="s">
        <v>41</v>
      </c>
      <c r="U348" s="38">
        <v>3</v>
      </c>
      <c r="V348" s="9"/>
    </row>
    <row r="349" spans="1:22" x14ac:dyDescent="0.35">
      <c r="A349" s="18" t="s">
        <v>442</v>
      </c>
      <c r="B349" s="8">
        <v>45114</v>
      </c>
      <c r="C349" s="23" t="s">
        <v>78</v>
      </c>
      <c r="D349" s="23" t="s">
        <v>71</v>
      </c>
      <c r="E349" s="23" t="s">
        <v>72</v>
      </c>
      <c r="F349" s="28">
        <v>2023</v>
      </c>
      <c r="G349" s="23" t="s">
        <v>36</v>
      </c>
      <c r="H349" s="23" t="s">
        <v>174</v>
      </c>
      <c r="I349" s="23" t="s">
        <v>27</v>
      </c>
      <c r="J349" s="46">
        <v>12000</v>
      </c>
      <c r="K349" s="4">
        <v>7</v>
      </c>
      <c r="L349" s="5">
        <v>5</v>
      </c>
      <c r="M349" s="46">
        <v>79800</v>
      </c>
      <c r="N349" s="46">
        <v>47578</v>
      </c>
      <c r="O349" s="46">
        <v>32222</v>
      </c>
      <c r="P349" s="6">
        <v>40.380000000000003</v>
      </c>
      <c r="Q349" s="33" t="s">
        <v>51</v>
      </c>
      <c r="R349" s="33" t="s">
        <v>67</v>
      </c>
      <c r="S349" s="33" t="s">
        <v>40</v>
      </c>
      <c r="T349" s="33" t="s">
        <v>31</v>
      </c>
      <c r="U349" s="39">
        <v>2</v>
      </c>
      <c r="V349" s="9"/>
    </row>
    <row r="350" spans="1:22" x14ac:dyDescent="0.35">
      <c r="A350" s="17" t="s">
        <v>443</v>
      </c>
      <c r="B350" s="7">
        <v>45639</v>
      </c>
      <c r="C350" s="22" t="s">
        <v>78</v>
      </c>
      <c r="D350" s="22" t="s">
        <v>97</v>
      </c>
      <c r="E350" s="22" t="s">
        <v>24</v>
      </c>
      <c r="F350" s="27">
        <v>2024</v>
      </c>
      <c r="G350" s="22" t="s">
        <v>36</v>
      </c>
      <c r="H350" s="22" t="s">
        <v>44</v>
      </c>
      <c r="I350" s="22" t="s">
        <v>27</v>
      </c>
      <c r="J350" s="45">
        <v>6000</v>
      </c>
      <c r="K350" s="1">
        <v>2</v>
      </c>
      <c r="L350" s="2">
        <v>5</v>
      </c>
      <c r="M350" s="45">
        <v>11400</v>
      </c>
      <c r="N350" s="45">
        <v>8036</v>
      </c>
      <c r="O350" s="45">
        <v>3364</v>
      </c>
      <c r="P350" s="3">
        <v>29.51</v>
      </c>
      <c r="Q350" s="32" t="s">
        <v>51</v>
      </c>
      <c r="R350" s="32" t="s">
        <v>29</v>
      </c>
      <c r="S350" s="32" t="s">
        <v>40</v>
      </c>
      <c r="T350" s="32" t="s">
        <v>41</v>
      </c>
      <c r="U350" s="38">
        <v>3</v>
      </c>
      <c r="V350" s="9"/>
    </row>
    <row r="351" spans="1:22" x14ac:dyDescent="0.35">
      <c r="A351" s="18" t="s">
        <v>444</v>
      </c>
      <c r="B351" s="8">
        <v>45553</v>
      </c>
      <c r="C351" s="23" t="s">
        <v>22</v>
      </c>
      <c r="D351" s="23" t="s">
        <v>79</v>
      </c>
      <c r="E351" s="23" t="s">
        <v>72</v>
      </c>
      <c r="F351" s="28">
        <v>2024</v>
      </c>
      <c r="G351" s="23" t="s">
        <v>43</v>
      </c>
      <c r="H351" s="23" t="s">
        <v>44</v>
      </c>
      <c r="I351" s="23" t="s">
        <v>27</v>
      </c>
      <c r="J351" s="46">
        <v>6000</v>
      </c>
      <c r="K351" s="4">
        <v>8</v>
      </c>
      <c r="L351" s="5">
        <v>5</v>
      </c>
      <c r="M351" s="46">
        <v>45600</v>
      </c>
      <c r="N351" s="46">
        <v>25955</v>
      </c>
      <c r="O351" s="46">
        <v>19645</v>
      </c>
      <c r="P351" s="6">
        <v>43.08</v>
      </c>
      <c r="Q351" s="33" t="s">
        <v>51</v>
      </c>
      <c r="R351" s="33" t="s">
        <v>67</v>
      </c>
      <c r="S351" s="33" t="s">
        <v>30</v>
      </c>
      <c r="T351" s="33" t="s">
        <v>41</v>
      </c>
      <c r="U351" s="39">
        <v>3</v>
      </c>
      <c r="V351" s="9"/>
    </row>
    <row r="352" spans="1:22" x14ac:dyDescent="0.35">
      <c r="A352" s="17" t="s">
        <v>445</v>
      </c>
      <c r="B352" s="7">
        <v>44939</v>
      </c>
      <c r="C352" s="22" t="s">
        <v>78</v>
      </c>
      <c r="D352" s="22" t="s">
        <v>47</v>
      </c>
      <c r="E352" s="22" t="s">
        <v>48</v>
      </c>
      <c r="F352" s="27">
        <v>2023</v>
      </c>
      <c r="G352" s="22" t="s">
        <v>43</v>
      </c>
      <c r="H352" s="22" t="s">
        <v>88</v>
      </c>
      <c r="I352" s="22" t="s">
        <v>55</v>
      </c>
      <c r="J352" s="45">
        <v>8000</v>
      </c>
      <c r="K352" s="1">
        <v>10</v>
      </c>
      <c r="L352" s="2">
        <v>0</v>
      </c>
      <c r="M352" s="45">
        <v>80000</v>
      </c>
      <c r="N352" s="45">
        <v>57299</v>
      </c>
      <c r="O352" s="45">
        <v>22701</v>
      </c>
      <c r="P352" s="3">
        <v>28.38</v>
      </c>
      <c r="Q352" s="32" t="s">
        <v>81</v>
      </c>
      <c r="R352" s="32" t="s">
        <v>29</v>
      </c>
      <c r="S352" s="32" t="s">
        <v>85</v>
      </c>
      <c r="T352" s="32" t="s">
        <v>41</v>
      </c>
      <c r="U352" s="38">
        <v>2</v>
      </c>
      <c r="V352" s="9"/>
    </row>
    <row r="353" spans="1:22" x14ac:dyDescent="0.35">
      <c r="A353" s="18" t="s">
        <v>446</v>
      </c>
      <c r="B353" s="8">
        <v>45420</v>
      </c>
      <c r="C353" s="23" t="s">
        <v>22</v>
      </c>
      <c r="D353" s="23" t="s">
        <v>116</v>
      </c>
      <c r="E353" s="23" t="s">
        <v>35</v>
      </c>
      <c r="F353" s="28">
        <v>2024</v>
      </c>
      <c r="G353" s="23" t="s">
        <v>36</v>
      </c>
      <c r="H353" s="23" t="s">
        <v>59</v>
      </c>
      <c r="I353" s="23" t="s">
        <v>50</v>
      </c>
      <c r="J353" s="46">
        <v>22000</v>
      </c>
      <c r="K353" s="4">
        <v>3</v>
      </c>
      <c r="L353" s="5">
        <v>20</v>
      </c>
      <c r="M353" s="46">
        <v>52800</v>
      </c>
      <c r="N353" s="46">
        <v>36458</v>
      </c>
      <c r="O353" s="46">
        <v>16342</v>
      </c>
      <c r="P353" s="6">
        <v>30.95</v>
      </c>
      <c r="Q353" s="33" t="s">
        <v>75</v>
      </c>
      <c r="R353" s="33" t="s">
        <v>76</v>
      </c>
      <c r="S353" s="33" t="s">
        <v>30</v>
      </c>
      <c r="T353" s="33" t="s">
        <v>41</v>
      </c>
      <c r="U353" s="39">
        <v>4</v>
      </c>
      <c r="V353" s="9"/>
    </row>
    <row r="354" spans="1:22" x14ac:dyDescent="0.35">
      <c r="A354" s="17" t="s">
        <v>447</v>
      </c>
      <c r="B354" s="7">
        <v>45096</v>
      </c>
      <c r="C354" s="22" t="s">
        <v>90</v>
      </c>
      <c r="D354" s="22" t="s">
        <v>87</v>
      </c>
      <c r="E354" s="22" t="s">
        <v>35</v>
      </c>
      <c r="F354" s="27">
        <v>2023</v>
      </c>
      <c r="G354" s="22" t="s">
        <v>36</v>
      </c>
      <c r="H354" s="22" t="s">
        <v>174</v>
      </c>
      <c r="I354" s="22" t="s">
        <v>27</v>
      </c>
      <c r="J354" s="45">
        <v>12000</v>
      </c>
      <c r="K354" s="1">
        <v>6</v>
      </c>
      <c r="L354" s="2">
        <v>0</v>
      </c>
      <c r="M354" s="45">
        <v>72000</v>
      </c>
      <c r="N354" s="45">
        <v>43650</v>
      </c>
      <c r="O354" s="45">
        <v>28350</v>
      </c>
      <c r="P354" s="3">
        <v>39.380000000000003</v>
      </c>
      <c r="Q354" s="32" t="s">
        <v>81</v>
      </c>
      <c r="R354" s="32" t="s">
        <v>76</v>
      </c>
      <c r="S354" s="32" t="s">
        <v>85</v>
      </c>
      <c r="T354" s="32" t="s">
        <v>41</v>
      </c>
      <c r="U354" s="38">
        <v>4</v>
      </c>
      <c r="V354" s="9"/>
    </row>
    <row r="355" spans="1:22" x14ac:dyDescent="0.35">
      <c r="A355" s="18" t="s">
        <v>448</v>
      </c>
      <c r="B355" s="8">
        <v>45167</v>
      </c>
      <c r="C355" s="23" t="s">
        <v>83</v>
      </c>
      <c r="D355" s="23" t="s">
        <v>108</v>
      </c>
      <c r="E355" s="23" t="s">
        <v>72</v>
      </c>
      <c r="F355" s="28">
        <v>2023</v>
      </c>
      <c r="G355" s="23" t="s">
        <v>61</v>
      </c>
      <c r="H355" s="23" t="s">
        <v>174</v>
      </c>
      <c r="I355" s="23" t="s">
        <v>27</v>
      </c>
      <c r="J355" s="46">
        <v>12000</v>
      </c>
      <c r="K355" s="4">
        <v>8</v>
      </c>
      <c r="L355" s="5">
        <v>20</v>
      </c>
      <c r="M355" s="46">
        <v>76800</v>
      </c>
      <c r="N355" s="46">
        <v>49722</v>
      </c>
      <c r="O355" s="46">
        <v>27078</v>
      </c>
      <c r="P355" s="6">
        <v>35.26</v>
      </c>
      <c r="Q355" s="33" t="s">
        <v>28</v>
      </c>
      <c r="R355" s="33" t="s">
        <v>67</v>
      </c>
      <c r="S355" s="33" t="s">
        <v>40</v>
      </c>
      <c r="T355" s="33" t="s">
        <v>31</v>
      </c>
      <c r="U355" s="39">
        <v>4</v>
      </c>
      <c r="V355" s="9"/>
    </row>
    <row r="356" spans="1:22" x14ac:dyDescent="0.35">
      <c r="A356" s="17" t="s">
        <v>449</v>
      </c>
      <c r="B356" s="7">
        <v>45596</v>
      </c>
      <c r="C356" s="22" t="s">
        <v>33</v>
      </c>
      <c r="D356" s="22" t="s">
        <v>23</v>
      </c>
      <c r="E356" s="22" t="s">
        <v>24</v>
      </c>
      <c r="F356" s="27">
        <v>2024</v>
      </c>
      <c r="G356" s="22" t="s">
        <v>61</v>
      </c>
      <c r="H356" s="22" t="s">
        <v>26</v>
      </c>
      <c r="I356" s="22" t="s">
        <v>27</v>
      </c>
      <c r="J356" s="45">
        <v>5000</v>
      </c>
      <c r="K356" s="1">
        <v>7</v>
      </c>
      <c r="L356" s="2">
        <v>5</v>
      </c>
      <c r="M356" s="45">
        <v>33250</v>
      </c>
      <c r="N356" s="45">
        <v>18490</v>
      </c>
      <c r="O356" s="45">
        <v>14760</v>
      </c>
      <c r="P356" s="3">
        <v>44.39</v>
      </c>
      <c r="Q356" s="32" t="s">
        <v>75</v>
      </c>
      <c r="R356" s="32" t="s">
        <v>76</v>
      </c>
      <c r="S356" s="32" t="s">
        <v>30</v>
      </c>
      <c r="T356" s="32" t="s">
        <v>31</v>
      </c>
      <c r="U356" s="38">
        <v>4</v>
      </c>
      <c r="V356" s="9"/>
    </row>
    <row r="357" spans="1:22" x14ac:dyDescent="0.35">
      <c r="A357" s="18" t="s">
        <v>450</v>
      </c>
      <c r="B357" s="8">
        <v>45276</v>
      </c>
      <c r="C357" s="23" t="s">
        <v>53</v>
      </c>
      <c r="D357" s="23" t="s">
        <v>97</v>
      </c>
      <c r="E357" s="23" t="s">
        <v>24</v>
      </c>
      <c r="F357" s="28">
        <v>2023</v>
      </c>
      <c r="G357" s="23" t="s">
        <v>25</v>
      </c>
      <c r="H357" s="23" t="s">
        <v>117</v>
      </c>
      <c r="I357" s="23" t="s">
        <v>50</v>
      </c>
      <c r="J357" s="46">
        <v>8000</v>
      </c>
      <c r="K357" s="4">
        <v>4</v>
      </c>
      <c r="L357" s="5">
        <v>20</v>
      </c>
      <c r="M357" s="46">
        <v>25600</v>
      </c>
      <c r="N357" s="46">
        <v>16058</v>
      </c>
      <c r="O357" s="46">
        <v>9542</v>
      </c>
      <c r="P357" s="6">
        <v>37.270000000000003</v>
      </c>
      <c r="Q357" s="33" t="s">
        <v>75</v>
      </c>
      <c r="R357" s="33" t="s">
        <v>29</v>
      </c>
      <c r="S357" s="33" t="s">
        <v>85</v>
      </c>
      <c r="T357" s="33" t="s">
        <v>41</v>
      </c>
      <c r="U357" s="39">
        <v>4</v>
      </c>
      <c r="V357" s="9"/>
    </row>
    <row r="358" spans="1:22" x14ac:dyDescent="0.35">
      <c r="A358" s="17" t="s">
        <v>451</v>
      </c>
      <c r="B358" s="7">
        <v>45043</v>
      </c>
      <c r="C358" s="22" t="s">
        <v>33</v>
      </c>
      <c r="D358" s="22" t="s">
        <v>34</v>
      </c>
      <c r="E358" s="22" t="s">
        <v>35</v>
      </c>
      <c r="F358" s="27">
        <v>2023</v>
      </c>
      <c r="G358" s="22" t="s">
        <v>61</v>
      </c>
      <c r="H358" s="22" t="s">
        <v>44</v>
      </c>
      <c r="I358" s="22" t="s">
        <v>27</v>
      </c>
      <c r="J358" s="45">
        <v>6000</v>
      </c>
      <c r="K358" s="1">
        <v>1</v>
      </c>
      <c r="L358" s="2">
        <v>0</v>
      </c>
      <c r="M358" s="45">
        <v>6000</v>
      </c>
      <c r="N358" s="45">
        <v>3662</v>
      </c>
      <c r="O358" s="45">
        <v>2338</v>
      </c>
      <c r="P358" s="3">
        <v>38.97</v>
      </c>
      <c r="Q358" s="32" t="s">
        <v>81</v>
      </c>
      <c r="R358" s="32" t="s">
        <v>29</v>
      </c>
      <c r="S358" s="32" t="s">
        <v>85</v>
      </c>
      <c r="T358" s="32" t="s">
        <v>31</v>
      </c>
      <c r="U358" s="38">
        <v>1</v>
      </c>
      <c r="V358" s="9"/>
    </row>
    <row r="359" spans="1:22" x14ac:dyDescent="0.35">
      <c r="A359" s="18" t="s">
        <v>452</v>
      </c>
      <c r="B359" s="8">
        <v>45095</v>
      </c>
      <c r="C359" s="23" t="s">
        <v>70</v>
      </c>
      <c r="D359" s="23" t="s">
        <v>87</v>
      </c>
      <c r="E359" s="23" t="s">
        <v>35</v>
      </c>
      <c r="F359" s="28">
        <v>2023</v>
      </c>
      <c r="G359" s="23" t="s">
        <v>25</v>
      </c>
      <c r="H359" s="23" t="s">
        <v>131</v>
      </c>
      <c r="I359" s="23" t="s">
        <v>63</v>
      </c>
      <c r="J359" s="46">
        <v>10000</v>
      </c>
      <c r="K359" s="4">
        <v>7</v>
      </c>
      <c r="L359" s="5">
        <v>0</v>
      </c>
      <c r="M359" s="46">
        <v>70000</v>
      </c>
      <c r="N359" s="46">
        <v>41526</v>
      </c>
      <c r="O359" s="46">
        <v>28474</v>
      </c>
      <c r="P359" s="6">
        <v>40.68</v>
      </c>
      <c r="Q359" s="33" t="s">
        <v>39</v>
      </c>
      <c r="R359" s="33" t="s">
        <v>56</v>
      </c>
      <c r="S359" s="33" t="s">
        <v>30</v>
      </c>
      <c r="T359" s="33" t="s">
        <v>31</v>
      </c>
      <c r="U359" s="39">
        <v>4</v>
      </c>
      <c r="V359" s="9"/>
    </row>
    <row r="360" spans="1:22" x14ac:dyDescent="0.35">
      <c r="A360" s="17" t="s">
        <v>453</v>
      </c>
      <c r="B360" s="7">
        <v>45122</v>
      </c>
      <c r="C360" s="22" t="s">
        <v>53</v>
      </c>
      <c r="D360" s="22" t="s">
        <v>71</v>
      </c>
      <c r="E360" s="22" t="s">
        <v>72</v>
      </c>
      <c r="F360" s="27">
        <v>2023</v>
      </c>
      <c r="G360" s="22" t="s">
        <v>25</v>
      </c>
      <c r="H360" s="22" t="s">
        <v>117</v>
      </c>
      <c r="I360" s="22" t="s">
        <v>50</v>
      </c>
      <c r="J360" s="45">
        <v>8000</v>
      </c>
      <c r="K360" s="1">
        <v>7</v>
      </c>
      <c r="L360" s="2">
        <v>0</v>
      </c>
      <c r="M360" s="45">
        <v>56000</v>
      </c>
      <c r="N360" s="45">
        <v>39621</v>
      </c>
      <c r="O360" s="45">
        <v>16379</v>
      </c>
      <c r="P360" s="3">
        <v>29.25</v>
      </c>
      <c r="Q360" s="32" t="s">
        <v>75</v>
      </c>
      <c r="R360" s="32" t="s">
        <v>76</v>
      </c>
      <c r="S360" s="32" t="s">
        <v>40</v>
      </c>
      <c r="T360" s="32" t="s">
        <v>31</v>
      </c>
      <c r="U360" s="38">
        <v>4</v>
      </c>
      <c r="V360" s="9"/>
    </row>
    <row r="361" spans="1:22" x14ac:dyDescent="0.35">
      <c r="A361" s="18" t="s">
        <v>454</v>
      </c>
      <c r="B361" s="8">
        <v>44931</v>
      </c>
      <c r="C361" s="23" t="s">
        <v>33</v>
      </c>
      <c r="D361" s="23" t="s">
        <v>47</v>
      </c>
      <c r="E361" s="23" t="s">
        <v>48</v>
      </c>
      <c r="F361" s="28">
        <v>2023</v>
      </c>
      <c r="G361" s="23" t="s">
        <v>36</v>
      </c>
      <c r="H361" s="23" t="s">
        <v>80</v>
      </c>
      <c r="I361" s="23" t="s">
        <v>55</v>
      </c>
      <c r="J361" s="46">
        <v>25000</v>
      </c>
      <c r="K361" s="4">
        <v>9</v>
      </c>
      <c r="L361" s="5">
        <v>5</v>
      </c>
      <c r="M361" s="46">
        <v>213750</v>
      </c>
      <c r="N361" s="46">
        <v>148043</v>
      </c>
      <c r="O361" s="46">
        <v>65707</v>
      </c>
      <c r="P361" s="6">
        <v>30.74</v>
      </c>
      <c r="Q361" s="33" t="s">
        <v>51</v>
      </c>
      <c r="R361" s="33" t="s">
        <v>29</v>
      </c>
      <c r="S361" s="33" t="s">
        <v>68</v>
      </c>
      <c r="T361" s="33" t="s">
        <v>31</v>
      </c>
      <c r="U361" s="39">
        <v>1</v>
      </c>
      <c r="V361" s="9"/>
    </row>
    <row r="362" spans="1:22" x14ac:dyDescent="0.35">
      <c r="A362" s="17" t="s">
        <v>455</v>
      </c>
      <c r="B362" s="7">
        <v>45323</v>
      </c>
      <c r="C362" s="22" t="s">
        <v>33</v>
      </c>
      <c r="D362" s="22" t="s">
        <v>74</v>
      </c>
      <c r="E362" s="22" t="s">
        <v>48</v>
      </c>
      <c r="F362" s="27">
        <v>2024</v>
      </c>
      <c r="G362" s="22" t="s">
        <v>61</v>
      </c>
      <c r="H362" s="22" t="s">
        <v>88</v>
      </c>
      <c r="I362" s="22" t="s">
        <v>55</v>
      </c>
      <c r="J362" s="45">
        <v>8000</v>
      </c>
      <c r="K362" s="1">
        <v>6</v>
      </c>
      <c r="L362" s="2">
        <v>10</v>
      </c>
      <c r="M362" s="45">
        <v>43200</v>
      </c>
      <c r="N362" s="45">
        <v>30233</v>
      </c>
      <c r="O362" s="45">
        <v>12967</v>
      </c>
      <c r="P362" s="3">
        <v>30.02</v>
      </c>
      <c r="Q362" s="32" t="s">
        <v>51</v>
      </c>
      <c r="R362" s="32" t="s">
        <v>29</v>
      </c>
      <c r="S362" s="32" t="s">
        <v>68</v>
      </c>
      <c r="T362" s="32" t="s">
        <v>41</v>
      </c>
      <c r="U362" s="38">
        <v>3</v>
      </c>
      <c r="V362" s="9"/>
    </row>
    <row r="363" spans="1:22" x14ac:dyDescent="0.35">
      <c r="A363" s="18" t="s">
        <v>456</v>
      </c>
      <c r="B363" s="8">
        <v>45228</v>
      </c>
      <c r="C363" s="23" t="s">
        <v>70</v>
      </c>
      <c r="D363" s="23" t="s">
        <v>23</v>
      </c>
      <c r="E363" s="23" t="s">
        <v>24</v>
      </c>
      <c r="F363" s="28">
        <v>2023</v>
      </c>
      <c r="G363" s="23" t="s">
        <v>61</v>
      </c>
      <c r="H363" s="23" t="s">
        <v>131</v>
      </c>
      <c r="I363" s="23" t="s">
        <v>63</v>
      </c>
      <c r="J363" s="46">
        <v>10000</v>
      </c>
      <c r="K363" s="4">
        <v>3</v>
      </c>
      <c r="L363" s="5">
        <v>5</v>
      </c>
      <c r="M363" s="46">
        <v>28500</v>
      </c>
      <c r="N363" s="46">
        <v>18594</v>
      </c>
      <c r="O363" s="46">
        <v>9906</v>
      </c>
      <c r="P363" s="6">
        <v>34.76</v>
      </c>
      <c r="Q363" s="33" t="s">
        <v>75</v>
      </c>
      <c r="R363" s="33" t="s">
        <v>45</v>
      </c>
      <c r="S363" s="33" t="s">
        <v>85</v>
      </c>
      <c r="T363" s="33" t="s">
        <v>31</v>
      </c>
      <c r="U363" s="39">
        <v>2</v>
      </c>
      <c r="V363" s="9"/>
    </row>
    <row r="364" spans="1:22" x14ac:dyDescent="0.35">
      <c r="A364" s="17" t="s">
        <v>457</v>
      </c>
      <c r="B364" s="7">
        <v>45141</v>
      </c>
      <c r="C364" s="22" t="s">
        <v>33</v>
      </c>
      <c r="D364" s="22" t="s">
        <v>108</v>
      </c>
      <c r="E364" s="22" t="s">
        <v>72</v>
      </c>
      <c r="F364" s="27">
        <v>2023</v>
      </c>
      <c r="G364" s="22" t="s">
        <v>61</v>
      </c>
      <c r="H364" s="22" t="s">
        <v>54</v>
      </c>
      <c r="I364" s="22" t="s">
        <v>55</v>
      </c>
      <c r="J364" s="45">
        <v>18000</v>
      </c>
      <c r="K364" s="1">
        <v>6</v>
      </c>
      <c r="L364" s="2">
        <v>15</v>
      </c>
      <c r="M364" s="45">
        <v>91800</v>
      </c>
      <c r="N364" s="45">
        <v>52560</v>
      </c>
      <c r="O364" s="45">
        <v>39240</v>
      </c>
      <c r="P364" s="3">
        <v>42.75</v>
      </c>
      <c r="Q364" s="32" t="s">
        <v>39</v>
      </c>
      <c r="R364" s="32" t="s">
        <v>29</v>
      </c>
      <c r="S364" s="32" t="s">
        <v>85</v>
      </c>
      <c r="T364" s="32" t="s">
        <v>31</v>
      </c>
      <c r="U364" s="38">
        <v>3</v>
      </c>
      <c r="V364" s="9"/>
    </row>
    <row r="365" spans="1:22" x14ac:dyDescent="0.35">
      <c r="A365" s="18" t="s">
        <v>458</v>
      </c>
      <c r="B365" s="8">
        <v>45502</v>
      </c>
      <c r="C365" s="23" t="s">
        <v>90</v>
      </c>
      <c r="D365" s="23" t="s">
        <v>71</v>
      </c>
      <c r="E365" s="23" t="s">
        <v>72</v>
      </c>
      <c r="F365" s="28">
        <v>2024</v>
      </c>
      <c r="G365" s="23" t="s">
        <v>43</v>
      </c>
      <c r="H365" s="23" t="s">
        <v>119</v>
      </c>
      <c r="I365" s="23" t="s">
        <v>63</v>
      </c>
      <c r="J365" s="46">
        <v>16000</v>
      </c>
      <c r="K365" s="4">
        <v>10</v>
      </c>
      <c r="L365" s="5">
        <v>15</v>
      </c>
      <c r="M365" s="46">
        <v>136000</v>
      </c>
      <c r="N365" s="46">
        <v>91218</v>
      </c>
      <c r="O365" s="46">
        <v>44782</v>
      </c>
      <c r="P365" s="6">
        <v>32.93</v>
      </c>
      <c r="Q365" s="33" t="s">
        <v>75</v>
      </c>
      <c r="R365" s="33" t="s">
        <v>45</v>
      </c>
      <c r="S365" s="33" t="s">
        <v>40</v>
      </c>
      <c r="T365" s="33" t="s">
        <v>31</v>
      </c>
      <c r="U365" s="39">
        <v>1</v>
      </c>
      <c r="V365" s="9"/>
    </row>
    <row r="366" spans="1:22" x14ac:dyDescent="0.35">
      <c r="A366" s="17" t="s">
        <v>459</v>
      </c>
      <c r="B366" s="7">
        <v>45317</v>
      </c>
      <c r="C366" s="22" t="s">
        <v>78</v>
      </c>
      <c r="D366" s="22" t="s">
        <v>47</v>
      </c>
      <c r="E366" s="22" t="s">
        <v>48</v>
      </c>
      <c r="F366" s="27">
        <v>2024</v>
      </c>
      <c r="G366" s="22" t="s">
        <v>36</v>
      </c>
      <c r="H366" s="22" t="s">
        <v>106</v>
      </c>
      <c r="I366" s="22" t="s">
        <v>38</v>
      </c>
      <c r="J366" s="45">
        <v>12000</v>
      </c>
      <c r="K366" s="1">
        <v>1</v>
      </c>
      <c r="L366" s="2">
        <v>0</v>
      </c>
      <c r="M366" s="45">
        <v>12000</v>
      </c>
      <c r="N366" s="45">
        <v>7145</v>
      </c>
      <c r="O366" s="45">
        <v>4855</v>
      </c>
      <c r="P366" s="3">
        <v>40.46</v>
      </c>
      <c r="Q366" s="32" t="s">
        <v>39</v>
      </c>
      <c r="R366" s="32" t="s">
        <v>45</v>
      </c>
      <c r="S366" s="32" t="s">
        <v>57</v>
      </c>
      <c r="T366" s="32" t="s">
        <v>31</v>
      </c>
      <c r="U366" s="38">
        <v>3</v>
      </c>
      <c r="V366" s="9"/>
    </row>
    <row r="367" spans="1:22" x14ac:dyDescent="0.35">
      <c r="A367" s="18" t="s">
        <v>460</v>
      </c>
      <c r="B367" s="8">
        <v>45135</v>
      </c>
      <c r="C367" s="23" t="s">
        <v>78</v>
      </c>
      <c r="D367" s="23" t="s">
        <v>71</v>
      </c>
      <c r="E367" s="23" t="s">
        <v>72</v>
      </c>
      <c r="F367" s="28">
        <v>2023</v>
      </c>
      <c r="G367" s="23" t="s">
        <v>25</v>
      </c>
      <c r="H367" s="23" t="s">
        <v>80</v>
      </c>
      <c r="I367" s="23" t="s">
        <v>55</v>
      </c>
      <c r="J367" s="46">
        <v>25000</v>
      </c>
      <c r="K367" s="4">
        <v>6</v>
      </c>
      <c r="L367" s="5">
        <v>20</v>
      </c>
      <c r="M367" s="46">
        <v>120000</v>
      </c>
      <c r="N367" s="46">
        <v>75233</v>
      </c>
      <c r="O367" s="46">
        <v>44767</v>
      </c>
      <c r="P367" s="6">
        <v>37.31</v>
      </c>
      <c r="Q367" s="33" t="s">
        <v>75</v>
      </c>
      <c r="R367" s="33" t="s">
        <v>29</v>
      </c>
      <c r="S367" s="33" t="s">
        <v>68</v>
      </c>
      <c r="T367" s="33" t="s">
        <v>31</v>
      </c>
      <c r="U367" s="39">
        <v>5</v>
      </c>
      <c r="V367" s="9"/>
    </row>
    <row r="368" spans="1:22" x14ac:dyDescent="0.35">
      <c r="A368" s="17" t="s">
        <v>461</v>
      </c>
      <c r="B368" s="7">
        <v>45639</v>
      </c>
      <c r="C368" s="22" t="s">
        <v>78</v>
      </c>
      <c r="D368" s="22" t="s">
        <v>97</v>
      </c>
      <c r="E368" s="22" t="s">
        <v>24</v>
      </c>
      <c r="F368" s="27">
        <v>2024</v>
      </c>
      <c r="G368" s="22" t="s">
        <v>43</v>
      </c>
      <c r="H368" s="22" t="s">
        <v>117</v>
      </c>
      <c r="I368" s="22" t="s">
        <v>50</v>
      </c>
      <c r="J368" s="45">
        <v>8000</v>
      </c>
      <c r="K368" s="1">
        <v>7</v>
      </c>
      <c r="L368" s="2">
        <v>5</v>
      </c>
      <c r="M368" s="45">
        <v>53200</v>
      </c>
      <c r="N368" s="45">
        <v>33027</v>
      </c>
      <c r="O368" s="45">
        <v>20173</v>
      </c>
      <c r="P368" s="3">
        <v>37.92</v>
      </c>
      <c r="Q368" s="32" t="s">
        <v>81</v>
      </c>
      <c r="R368" s="32" t="s">
        <v>29</v>
      </c>
      <c r="S368" s="32" t="s">
        <v>30</v>
      </c>
      <c r="T368" s="32" t="s">
        <v>41</v>
      </c>
      <c r="U368" s="38">
        <v>2</v>
      </c>
      <c r="V368" s="9"/>
    </row>
    <row r="369" spans="1:22" x14ac:dyDescent="0.35">
      <c r="A369" s="18" t="s">
        <v>462</v>
      </c>
      <c r="B369" s="8">
        <v>45562</v>
      </c>
      <c r="C369" s="23" t="s">
        <v>78</v>
      </c>
      <c r="D369" s="23" t="s">
        <v>79</v>
      </c>
      <c r="E369" s="23" t="s">
        <v>72</v>
      </c>
      <c r="F369" s="28">
        <v>2024</v>
      </c>
      <c r="G369" s="23" t="s">
        <v>61</v>
      </c>
      <c r="H369" s="23" t="s">
        <v>131</v>
      </c>
      <c r="I369" s="23" t="s">
        <v>63</v>
      </c>
      <c r="J369" s="46">
        <v>10000</v>
      </c>
      <c r="K369" s="4">
        <v>6</v>
      </c>
      <c r="L369" s="5">
        <v>20</v>
      </c>
      <c r="M369" s="46">
        <v>48000</v>
      </c>
      <c r="N369" s="46">
        <v>31201</v>
      </c>
      <c r="O369" s="46">
        <v>16799</v>
      </c>
      <c r="P369" s="6">
        <v>35</v>
      </c>
      <c r="Q369" s="33" t="s">
        <v>75</v>
      </c>
      <c r="R369" s="33" t="s">
        <v>56</v>
      </c>
      <c r="S369" s="33" t="s">
        <v>68</v>
      </c>
      <c r="T369" s="33" t="s">
        <v>41</v>
      </c>
      <c r="U369" s="39">
        <v>2</v>
      </c>
      <c r="V369" s="9"/>
    </row>
    <row r="370" spans="1:22" x14ac:dyDescent="0.35">
      <c r="A370" s="17" t="s">
        <v>463</v>
      </c>
      <c r="B370" s="7">
        <v>45626</v>
      </c>
      <c r="C370" s="22" t="s">
        <v>53</v>
      </c>
      <c r="D370" s="22" t="s">
        <v>110</v>
      </c>
      <c r="E370" s="22" t="s">
        <v>24</v>
      </c>
      <c r="F370" s="27">
        <v>2024</v>
      </c>
      <c r="G370" s="22" t="s">
        <v>61</v>
      </c>
      <c r="H370" s="22" t="s">
        <v>44</v>
      </c>
      <c r="I370" s="22" t="s">
        <v>27</v>
      </c>
      <c r="J370" s="45">
        <v>6000</v>
      </c>
      <c r="K370" s="1">
        <v>3</v>
      </c>
      <c r="L370" s="2">
        <v>15</v>
      </c>
      <c r="M370" s="45">
        <v>15300</v>
      </c>
      <c r="N370" s="45">
        <v>9752</v>
      </c>
      <c r="O370" s="45">
        <v>5548</v>
      </c>
      <c r="P370" s="3">
        <v>36.26</v>
      </c>
      <c r="Q370" s="32" t="s">
        <v>51</v>
      </c>
      <c r="R370" s="32" t="s">
        <v>76</v>
      </c>
      <c r="S370" s="32" t="s">
        <v>40</v>
      </c>
      <c r="T370" s="32" t="s">
        <v>41</v>
      </c>
      <c r="U370" s="38">
        <v>2</v>
      </c>
      <c r="V370" s="9"/>
    </row>
    <row r="371" spans="1:22" x14ac:dyDescent="0.35">
      <c r="A371" s="18" t="s">
        <v>464</v>
      </c>
      <c r="B371" s="8">
        <v>45091</v>
      </c>
      <c r="C371" s="23" t="s">
        <v>22</v>
      </c>
      <c r="D371" s="23" t="s">
        <v>87</v>
      </c>
      <c r="E371" s="23" t="s">
        <v>35</v>
      </c>
      <c r="F371" s="28">
        <v>2023</v>
      </c>
      <c r="G371" s="23" t="s">
        <v>61</v>
      </c>
      <c r="H371" s="23" t="s">
        <v>54</v>
      </c>
      <c r="I371" s="23" t="s">
        <v>55</v>
      </c>
      <c r="J371" s="46">
        <v>18000</v>
      </c>
      <c r="K371" s="4">
        <v>1</v>
      </c>
      <c r="L371" s="5">
        <v>0</v>
      </c>
      <c r="M371" s="46">
        <v>18000</v>
      </c>
      <c r="N371" s="46">
        <v>11327</v>
      </c>
      <c r="O371" s="46">
        <v>6673</v>
      </c>
      <c r="P371" s="6">
        <v>37.07</v>
      </c>
      <c r="Q371" s="33" t="s">
        <v>39</v>
      </c>
      <c r="R371" s="33" t="s">
        <v>76</v>
      </c>
      <c r="S371" s="33" t="s">
        <v>68</v>
      </c>
      <c r="T371" s="33" t="s">
        <v>31</v>
      </c>
      <c r="U371" s="39">
        <v>5</v>
      </c>
      <c r="V371" s="9"/>
    </row>
    <row r="372" spans="1:22" x14ac:dyDescent="0.35">
      <c r="A372" s="17" t="s">
        <v>465</v>
      </c>
      <c r="B372" s="7">
        <v>45604</v>
      </c>
      <c r="C372" s="22" t="s">
        <v>78</v>
      </c>
      <c r="D372" s="22" t="s">
        <v>110</v>
      </c>
      <c r="E372" s="22" t="s">
        <v>24</v>
      </c>
      <c r="F372" s="27">
        <v>2024</v>
      </c>
      <c r="G372" s="22" t="s">
        <v>36</v>
      </c>
      <c r="H372" s="22" t="s">
        <v>59</v>
      </c>
      <c r="I372" s="22" t="s">
        <v>50</v>
      </c>
      <c r="J372" s="45">
        <v>22000</v>
      </c>
      <c r="K372" s="1">
        <v>10</v>
      </c>
      <c r="L372" s="2">
        <v>10</v>
      </c>
      <c r="M372" s="45">
        <v>198000</v>
      </c>
      <c r="N372" s="45">
        <v>120953</v>
      </c>
      <c r="O372" s="45">
        <v>77047</v>
      </c>
      <c r="P372" s="3">
        <v>38.909999999999997</v>
      </c>
      <c r="Q372" s="32" t="s">
        <v>81</v>
      </c>
      <c r="R372" s="32" t="s">
        <v>29</v>
      </c>
      <c r="S372" s="32" t="s">
        <v>68</v>
      </c>
      <c r="T372" s="32" t="s">
        <v>31</v>
      </c>
      <c r="U372" s="38">
        <v>5</v>
      </c>
      <c r="V372" s="9"/>
    </row>
    <row r="373" spans="1:22" x14ac:dyDescent="0.35">
      <c r="A373" s="18" t="s">
        <v>466</v>
      </c>
      <c r="B373" s="8">
        <v>45090</v>
      </c>
      <c r="C373" s="23" t="s">
        <v>83</v>
      </c>
      <c r="D373" s="23" t="s">
        <v>87</v>
      </c>
      <c r="E373" s="23" t="s">
        <v>35</v>
      </c>
      <c r="F373" s="28">
        <v>2023</v>
      </c>
      <c r="G373" s="23" t="s">
        <v>61</v>
      </c>
      <c r="H373" s="23" t="s">
        <v>119</v>
      </c>
      <c r="I373" s="23" t="s">
        <v>63</v>
      </c>
      <c r="J373" s="46">
        <v>16000</v>
      </c>
      <c r="K373" s="4">
        <v>9</v>
      </c>
      <c r="L373" s="5">
        <v>5</v>
      </c>
      <c r="M373" s="46">
        <v>136800</v>
      </c>
      <c r="N373" s="46">
        <v>77378</v>
      </c>
      <c r="O373" s="46">
        <v>59422</v>
      </c>
      <c r="P373" s="6">
        <v>43.44</v>
      </c>
      <c r="Q373" s="33" t="s">
        <v>39</v>
      </c>
      <c r="R373" s="33" t="s">
        <v>56</v>
      </c>
      <c r="S373" s="33" t="s">
        <v>57</v>
      </c>
      <c r="T373" s="33" t="s">
        <v>41</v>
      </c>
      <c r="U373" s="39">
        <v>3</v>
      </c>
      <c r="V373" s="9"/>
    </row>
    <row r="374" spans="1:22" x14ac:dyDescent="0.35">
      <c r="A374" s="17" t="s">
        <v>467</v>
      </c>
      <c r="B374" s="7">
        <v>45150</v>
      </c>
      <c r="C374" s="22" t="s">
        <v>53</v>
      </c>
      <c r="D374" s="22" t="s">
        <v>108</v>
      </c>
      <c r="E374" s="22" t="s">
        <v>72</v>
      </c>
      <c r="F374" s="27">
        <v>2023</v>
      </c>
      <c r="G374" s="22" t="s">
        <v>25</v>
      </c>
      <c r="H374" s="22" t="s">
        <v>88</v>
      </c>
      <c r="I374" s="22" t="s">
        <v>55</v>
      </c>
      <c r="J374" s="45">
        <v>8000</v>
      </c>
      <c r="K374" s="1">
        <v>8</v>
      </c>
      <c r="L374" s="2">
        <v>10</v>
      </c>
      <c r="M374" s="45">
        <v>57600</v>
      </c>
      <c r="N374" s="45">
        <v>39746</v>
      </c>
      <c r="O374" s="45">
        <v>17854</v>
      </c>
      <c r="P374" s="3">
        <v>31</v>
      </c>
      <c r="Q374" s="32" t="s">
        <v>28</v>
      </c>
      <c r="R374" s="32" t="s">
        <v>76</v>
      </c>
      <c r="S374" s="32" t="s">
        <v>57</v>
      </c>
      <c r="T374" s="32" t="s">
        <v>31</v>
      </c>
      <c r="U374" s="38">
        <v>5</v>
      </c>
      <c r="V374" s="9"/>
    </row>
    <row r="375" spans="1:22" x14ac:dyDescent="0.35">
      <c r="A375" s="18" t="s">
        <v>468</v>
      </c>
      <c r="B375" s="8">
        <v>45563</v>
      </c>
      <c r="C375" s="23" t="s">
        <v>53</v>
      </c>
      <c r="D375" s="23" t="s">
        <v>79</v>
      </c>
      <c r="E375" s="23" t="s">
        <v>72</v>
      </c>
      <c r="F375" s="28">
        <v>2024</v>
      </c>
      <c r="G375" s="23" t="s">
        <v>61</v>
      </c>
      <c r="H375" s="23" t="s">
        <v>106</v>
      </c>
      <c r="I375" s="23" t="s">
        <v>38</v>
      </c>
      <c r="J375" s="46">
        <v>12000</v>
      </c>
      <c r="K375" s="4">
        <v>6</v>
      </c>
      <c r="L375" s="5">
        <v>5</v>
      </c>
      <c r="M375" s="46">
        <v>68400</v>
      </c>
      <c r="N375" s="46">
        <v>48270</v>
      </c>
      <c r="O375" s="46">
        <v>20130</v>
      </c>
      <c r="P375" s="6">
        <v>29.43</v>
      </c>
      <c r="Q375" s="33" t="s">
        <v>28</v>
      </c>
      <c r="R375" s="33" t="s">
        <v>67</v>
      </c>
      <c r="S375" s="33" t="s">
        <v>57</v>
      </c>
      <c r="T375" s="33" t="s">
        <v>31</v>
      </c>
      <c r="U375" s="39">
        <v>5</v>
      </c>
      <c r="V375" s="9"/>
    </row>
    <row r="376" spans="1:22" x14ac:dyDescent="0.35">
      <c r="A376" s="17" t="s">
        <v>469</v>
      </c>
      <c r="B376" s="7">
        <v>45310</v>
      </c>
      <c r="C376" s="22" t="s">
        <v>78</v>
      </c>
      <c r="D376" s="22" t="s">
        <v>47</v>
      </c>
      <c r="E376" s="22" t="s">
        <v>48</v>
      </c>
      <c r="F376" s="27">
        <v>2024</v>
      </c>
      <c r="G376" s="22" t="s">
        <v>43</v>
      </c>
      <c r="H376" s="22" t="s">
        <v>88</v>
      </c>
      <c r="I376" s="22" t="s">
        <v>55</v>
      </c>
      <c r="J376" s="45">
        <v>8000</v>
      </c>
      <c r="K376" s="1">
        <v>8</v>
      </c>
      <c r="L376" s="2">
        <v>5</v>
      </c>
      <c r="M376" s="45">
        <v>60800</v>
      </c>
      <c r="N376" s="45">
        <v>33893</v>
      </c>
      <c r="O376" s="45">
        <v>26907</v>
      </c>
      <c r="P376" s="3">
        <v>44.25</v>
      </c>
      <c r="Q376" s="32" t="s">
        <v>39</v>
      </c>
      <c r="R376" s="32" t="s">
        <v>45</v>
      </c>
      <c r="S376" s="32" t="s">
        <v>85</v>
      </c>
      <c r="T376" s="32" t="s">
        <v>31</v>
      </c>
      <c r="U376" s="38">
        <v>2</v>
      </c>
      <c r="V376" s="9"/>
    </row>
    <row r="377" spans="1:22" x14ac:dyDescent="0.35">
      <c r="A377" s="18" t="s">
        <v>470</v>
      </c>
      <c r="B377" s="8">
        <v>45477</v>
      </c>
      <c r="C377" s="23" t="s">
        <v>33</v>
      </c>
      <c r="D377" s="23" t="s">
        <v>71</v>
      </c>
      <c r="E377" s="23" t="s">
        <v>72</v>
      </c>
      <c r="F377" s="28">
        <v>2024</v>
      </c>
      <c r="G377" s="23" t="s">
        <v>36</v>
      </c>
      <c r="H377" s="23" t="s">
        <v>80</v>
      </c>
      <c r="I377" s="23" t="s">
        <v>55</v>
      </c>
      <c r="J377" s="46">
        <v>25000</v>
      </c>
      <c r="K377" s="4">
        <v>2</v>
      </c>
      <c r="L377" s="5">
        <v>0</v>
      </c>
      <c r="M377" s="46">
        <v>50000</v>
      </c>
      <c r="N377" s="46">
        <v>33198</v>
      </c>
      <c r="O377" s="46">
        <v>16802</v>
      </c>
      <c r="P377" s="6">
        <v>33.6</v>
      </c>
      <c r="Q377" s="33" t="s">
        <v>39</v>
      </c>
      <c r="R377" s="33" t="s">
        <v>67</v>
      </c>
      <c r="S377" s="33" t="s">
        <v>30</v>
      </c>
      <c r="T377" s="33" t="s">
        <v>41</v>
      </c>
      <c r="U377" s="39">
        <v>1</v>
      </c>
      <c r="V377" s="9"/>
    </row>
    <row r="378" spans="1:22" x14ac:dyDescent="0.35">
      <c r="A378" s="17" t="s">
        <v>471</v>
      </c>
      <c r="B378" s="7">
        <v>45629</v>
      </c>
      <c r="C378" s="22" t="s">
        <v>83</v>
      </c>
      <c r="D378" s="22" t="s">
        <v>97</v>
      </c>
      <c r="E378" s="22" t="s">
        <v>24</v>
      </c>
      <c r="F378" s="27">
        <v>2024</v>
      </c>
      <c r="G378" s="22" t="s">
        <v>36</v>
      </c>
      <c r="H378" s="22" t="s">
        <v>106</v>
      </c>
      <c r="I378" s="22" t="s">
        <v>38</v>
      </c>
      <c r="J378" s="45">
        <v>12000</v>
      </c>
      <c r="K378" s="1">
        <v>8</v>
      </c>
      <c r="L378" s="2">
        <v>15</v>
      </c>
      <c r="M378" s="45">
        <v>81600</v>
      </c>
      <c r="N378" s="45">
        <v>49482</v>
      </c>
      <c r="O378" s="45">
        <v>32118</v>
      </c>
      <c r="P378" s="3">
        <v>39.36</v>
      </c>
      <c r="Q378" s="32" t="s">
        <v>28</v>
      </c>
      <c r="R378" s="32" t="s">
        <v>76</v>
      </c>
      <c r="S378" s="32" t="s">
        <v>30</v>
      </c>
      <c r="T378" s="32" t="s">
        <v>41</v>
      </c>
      <c r="U378" s="38">
        <v>5</v>
      </c>
      <c r="V378" s="9"/>
    </row>
    <row r="379" spans="1:22" x14ac:dyDescent="0.35">
      <c r="A379" s="18" t="s">
        <v>472</v>
      </c>
      <c r="B379" s="8">
        <v>44999</v>
      </c>
      <c r="C379" s="23" t="s">
        <v>83</v>
      </c>
      <c r="D379" s="23" t="s">
        <v>65</v>
      </c>
      <c r="E379" s="23" t="s">
        <v>48</v>
      </c>
      <c r="F379" s="28">
        <v>2023</v>
      </c>
      <c r="G379" s="23" t="s">
        <v>43</v>
      </c>
      <c r="H379" s="23" t="s">
        <v>186</v>
      </c>
      <c r="I379" s="23" t="s">
        <v>55</v>
      </c>
      <c r="J379" s="46">
        <v>20000</v>
      </c>
      <c r="K379" s="4">
        <v>5</v>
      </c>
      <c r="L379" s="5">
        <v>5</v>
      </c>
      <c r="M379" s="46">
        <v>95000</v>
      </c>
      <c r="N379" s="46">
        <v>58517</v>
      </c>
      <c r="O379" s="46">
        <v>36483</v>
      </c>
      <c r="P379" s="6">
        <v>38.4</v>
      </c>
      <c r="Q379" s="33" t="s">
        <v>51</v>
      </c>
      <c r="R379" s="33" t="s">
        <v>67</v>
      </c>
      <c r="S379" s="33" t="s">
        <v>57</v>
      </c>
      <c r="T379" s="33" t="s">
        <v>41</v>
      </c>
      <c r="U379" s="39">
        <v>1</v>
      </c>
      <c r="V379" s="9"/>
    </row>
    <row r="380" spans="1:22" x14ac:dyDescent="0.35">
      <c r="A380" s="17" t="s">
        <v>473</v>
      </c>
      <c r="B380" s="7">
        <v>45474</v>
      </c>
      <c r="C380" s="22" t="s">
        <v>90</v>
      </c>
      <c r="D380" s="22" t="s">
        <v>71</v>
      </c>
      <c r="E380" s="22" t="s">
        <v>72</v>
      </c>
      <c r="F380" s="27">
        <v>2024</v>
      </c>
      <c r="G380" s="22" t="s">
        <v>43</v>
      </c>
      <c r="H380" s="22" t="s">
        <v>101</v>
      </c>
      <c r="I380" s="22" t="s">
        <v>27</v>
      </c>
      <c r="J380" s="45">
        <v>9000</v>
      </c>
      <c r="K380" s="1">
        <v>2</v>
      </c>
      <c r="L380" s="2">
        <v>20</v>
      </c>
      <c r="M380" s="45">
        <v>14400</v>
      </c>
      <c r="N380" s="45">
        <v>9746</v>
      </c>
      <c r="O380" s="45">
        <v>4654</v>
      </c>
      <c r="P380" s="3">
        <v>32.32</v>
      </c>
      <c r="Q380" s="32" t="s">
        <v>28</v>
      </c>
      <c r="R380" s="32" t="s">
        <v>76</v>
      </c>
      <c r="S380" s="32" t="s">
        <v>57</v>
      </c>
      <c r="T380" s="32" t="s">
        <v>41</v>
      </c>
      <c r="U380" s="38">
        <v>3</v>
      </c>
      <c r="V380" s="9"/>
    </row>
    <row r="381" spans="1:22" x14ac:dyDescent="0.35">
      <c r="A381" s="18" t="s">
        <v>474</v>
      </c>
      <c r="B381" s="8">
        <v>45548</v>
      </c>
      <c r="C381" s="23" t="s">
        <v>78</v>
      </c>
      <c r="D381" s="23" t="s">
        <v>79</v>
      </c>
      <c r="E381" s="23" t="s">
        <v>72</v>
      </c>
      <c r="F381" s="28">
        <v>2024</v>
      </c>
      <c r="G381" s="23" t="s">
        <v>36</v>
      </c>
      <c r="H381" s="23" t="s">
        <v>84</v>
      </c>
      <c r="I381" s="23" t="s">
        <v>27</v>
      </c>
      <c r="J381" s="46">
        <v>8000</v>
      </c>
      <c r="K381" s="4">
        <v>8</v>
      </c>
      <c r="L381" s="5">
        <v>5</v>
      </c>
      <c r="M381" s="46">
        <v>60800</v>
      </c>
      <c r="N381" s="46">
        <v>37524</v>
      </c>
      <c r="O381" s="46">
        <v>23276</v>
      </c>
      <c r="P381" s="6">
        <v>38.28</v>
      </c>
      <c r="Q381" s="33" t="s">
        <v>28</v>
      </c>
      <c r="R381" s="33" t="s">
        <v>67</v>
      </c>
      <c r="S381" s="33" t="s">
        <v>68</v>
      </c>
      <c r="T381" s="33" t="s">
        <v>31</v>
      </c>
      <c r="U381" s="39">
        <v>4</v>
      </c>
      <c r="V381" s="9"/>
    </row>
    <row r="382" spans="1:22" x14ac:dyDescent="0.35">
      <c r="A382" s="17" t="s">
        <v>475</v>
      </c>
      <c r="B382" s="7">
        <v>45485</v>
      </c>
      <c r="C382" s="22" t="s">
        <v>78</v>
      </c>
      <c r="D382" s="22" t="s">
        <v>71</v>
      </c>
      <c r="E382" s="22" t="s">
        <v>72</v>
      </c>
      <c r="F382" s="27">
        <v>2024</v>
      </c>
      <c r="G382" s="22" t="s">
        <v>36</v>
      </c>
      <c r="H382" s="22" t="s">
        <v>104</v>
      </c>
      <c r="I382" s="22" t="s">
        <v>50</v>
      </c>
      <c r="J382" s="45">
        <v>15000</v>
      </c>
      <c r="K382" s="1">
        <v>5</v>
      </c>
      <c r="L382" s="2">
        <v>15</v>
      </c>
      <c r="M382" s="45">
        <v>63750</v>
      </c>
      <c r="N382" s="45">
        <v>44675</v>
      </c>
      <c r="O382" s="45">
        <v>19075</v>
      </c>
      <c r="P382" s="3">
        <v>29.92</v>
      </c>
      <c r="Q382" s="32" t="s">
        <v>81</v>
      </c>
      <c r="R382" s="32" t="s">
        <v>76</v>
      </c>
      <c r="S382" s="32" t="s">
        <v>85</v>
      </c>
      <c r="T382" s="32" t="s">
        <v>31</v>
      </c>
      <c r="U382" s="38">
        <v>1</v>
      </c>
      <c r="V382" s="9"/>
    </row>
    <row r="383" spans="1:22" x14ac:dyDescent="0.35">
      <c r="A383" s="18" t="s">
        <v>476</v>
      </c>
      <c r="B383" s="8">
        <v>44932</v>
      </c>
      <c r="C383" s="23" t="s">
        <v>78</v>
      </c>
      <c r="D383" s="23" t="s">
        <v>47</v>
      </c>
      <c r="E383" s="23" t="s">
        <v>48</v>
      </c>
      <c r="F383" s="28">
        <v>2023</v>
      </c>
      <c r="G383" s="23" t="s">
        <v>61</v>
      </c>
      <c r="H383" s="23" t="s">
        <v>88</v>
      </c>
      <c r="I383" s="23" t="s">
        <v>55</v>
      </c>
      <c r="J383" s="46">
        <v>8000</v>
      </c>
      <c r="K383" s="4">
        <v>7</v>
      </c>
      <c r="L383" s="5">
        <v>10</v>
      </c>
      <c r="M383" s="46">
        <v>50400</v>
      </c>
      <c r="N383" s="46">
        <v>32411</v>
      </c>
      <c r="O383" s="46">
        <v>17989</v>
      </c>
      <c r="P383" s="6">
        <v>35.69</v>
      </c>
      <c r="Q383" s="33" t="s">
        <v>28</v>
      </c>
      <c r="R383" s="33" t="s">
        <v>45</v>
      </c>
      <c r="S383" s="33" t="s">
        <v>68</v>
      </c>
      <c r="T383" s="33" t="s">
        <v>31</v>
      </c>
      <c r="U383" s="39">
        <v>4</v>
      </c>
      <c r="V383" s="9"/>
    </row>
    <row r="384" spans="1:22" x14ac:dyDescent="0.35">
      <c r="A384" s="17" t="s">
        <v>477</v>
      </c>
      <c r="B384" s="7">
        <v>45588</v>
      </c>
      <c r="C384" s="22" t="s">
        <v>22</v>
      </c>
      <c r="D384" s="22" t="s">
        <v>23</v>
      </c>
      <c r="E384" s="22" t="s">
        <v>24</v>
      </c>
      <c r="F384" s="27">
        <v>2024</v>
      </c>
      <c r="G384" s="22" t="s">
        <v>36</v>
      </c>
      <c r="H384" s="22" t="s">
        <v>186</v>
      </c>
      <c r="I384" s="22" t="s">
        <v>55</v>
      </c>
      <c r="J384" s="45">
        <v>20000</v>
      </c>
      <c r="K384" s="1">
        <v>3</v>
      </c>
      <c r="L384" s="2">
        <v>0</v>
      </c>
      <c r="M384" s="45">
        <v>60000</v>
      </c>
      <c r="N384" s="45">
        <v>35252</v>
      </c>
      <c r="O384" s="45">
        <v>24748</v>
      </c>
      <c r="P384" s="3">
        <v>41.25</v>
      </c>
      <c r="Q384" s="32" t="s">
        <v>81</v>
      </c>
      <c r="R384" s="32" t="s">
        <v>56</v>
      </c>
      <c r="S384" s="32" t="s">
        <v>30</v>
      </c>
      <c r="T384" s="32" t="s">
        <v>31</v>
      </c>
      <c r="U384" s="38">
        <v>5</v>
      </c>
      <c r="V384" s="9"/>
    </row>
    <row r="385" spans="1:22" x14ac:dyDescent="0.35">
      <c r="A385" s="18" t="s">
        <v>478</v>
      </c>
      <c r="B385" s="8">
        <v>45399</v>
      </c>
      <c r="C385" s="23" t="s">
        <v>22</v>
      </c>
      <c r="D385" s="23" t="s">
        <v>34</v>
      </c>
      <c r="E385" s="23" t="s">
        <v>35</v>
      </c>
      <c r="F385" s="28">
        <v>2024</v>
      </c>
      <c r="G385" s="23" t="s">
        <v>25</v>
      </c>
      <c r="H385" s="23" t="s">
        <v>80</v>
      </c>
      <c r="I385" s="23" t="s">
        <v>55</v>
      </c>
      <c r="J385" s="46">
        <v>25000</v>
      </c>
      <c r="K385" s="4">
        <v>5</v>
      </c>
      <c r="L385" s="5">
        <v>15</v>
      </c>
      <c r="M385" s="46">
        <v>106250</v>
      </c>
      <c r="N385" s="46">
        <v>59654</v>
      </c>
      <c r="O385" s="46">
        <v>46596</v>
      </c>
      <c r="P385" s="6">
        <v>43.86</v>
      </c>
      <c r="Q385" s="33" t="s">
        <v>28</v>
      </c>
      <c r="R385" s="33" t="s">
        <v>56</v>
      </c>
      <c r="S385" s="33" t="s">
        <v>85</v>
      </c>
      <c r="T385" s="33" t="s">
        <v>41</v>
      </c>
      <c r="U385" s="39">
        <v>3</v>
      </c>
      <c r="V385" s="9"/>
    </row>
    <row r="386" spans="1:22" x14ac:dyDescent="0.35">
      <c r="A386" s="17" t="s">
        <v>479</v>
      </c>
      <c r="B386" s="7">
        <v>45058</v>
      </c>
      <c r="C386" s="22" t="s">
        <v>78</v>
      </c>
      <c r="D386" s="22" t="s">
        <v>116</v>
      </c>
      <c r="E386" s="22" t="s">
        <v>35</v>
      </c>
      <c r="F386" s="27">
        <v>2023</v>
      </c>
      <c r="G386" s="22" t="s">
        <v>25</v>
      </c>
      <c r="H386" s="22" t="s">
        <v>106</v>
      </c>
      <c r="I386" s="22" t="s">
        <v>38</v>
      </c>
      <c r="J386" s="45">
        <v>12000</v>
      </c>
      <c r="K386" s="1">
        <v>5</v>
      </c>
      <c r="L386" s="2">
        <v>10</v>
      </c>
      <c r="M386" s="45">
        <v>54000</v>
      </c>
      <c r="N386" s="45">
        <v>30341</v>
      </c>
      <c r="O386" s="45">
        <v>23659</v>
      </c>
      <c r="P386" s="3">
        <v>43.81</v>
      </c>
      <c r="Q386" s="32" t="s">
        <v>39</v>
      </c>
      <c r="R386" s="32" t="s">
        <v>45</v>
      </c>
      <c r="S386" s="32" t="s">
        <v>40</v>
      </c>
      <c r="T386" s="32" t="s">
        <v>41</v>
      </c>
      <c r="U386" s="38">
        <v>5</v>
      </c>
      <c r="V386" s="9"/>
    </row>
    <row r="387" spans="1:22" x14ac:dyDescent="0.35">
      <c r="A387" s="18" t="s">
        <v>480</v>
      </c>
      <c r="B387" s="8">
        <v>45602</v>
      </c>
      <c r="C387" s="23" t="s">
        <v>22</v>
      </c>
      <c r="D387" s="23" t="s">
        <v>110</v>
      </c>
      <c r="E387" s="23" t="s">
        <v>24</v>
      </c>
      <c r="F387" s="28">
        <v>2024</v>
      </c>
      <c r="G387" s="23" t="s">
        <v>43</v>
      </c>
      <c r="H387" s="23" t="s">
        <v>49</v>
      </c>
      <c r="I387" s="23" t="s">
        <v>50</v>
      </c>
      <c r="J387" s="46">
        <v>18000</v>
      </c>
      <c r="K387" s="4">
        <v>3</v>
      </c>
      <c r="L387" s="5">
        <v>10</v>
      </c>
      <c r="M387" s="46">
        <v>48600</v>
      </c>
      <c r="N387" s="46">
        <v>31413</v>
      </c>
      <c r="O387" s="46">
        <v>17187</v>
      </c>
      <c r="P387" s="6">
        <v>35.36</v>
      </c>
      <c r="Q387" s="33" t="s">
        <v>81</v>
      </c>
      <c r="R387" s="33" t="s">
        <v>67</v>
      </c>
      <c r="S387" s="33" t="s">
        <v>68</v>
      </c>
      <c r="T387" s="33" t="s">
        <v>41</v>
      </c>
      <c r="U387" s="39">
        <v>2</v>
      </c>
      <c r="V387" s="9"/>
    </row>
    <row r="388" spans="1:22" x14ac:dyDescent="0.35">
      <c r="A388" s="17" t="s">
        <v>481</v>
      </c>
      <c r="B388" s="7">
        <v>45153</v>
      </c>
      <c r="C388" s="22" t="s">
        <v>83</v>
      </c>
      <c r="D388" s="22" t="s">
        <v>108</v>
      </c>
      <c r="E388" s="22" t="s">
        <v>72</v>
      </c>
      <c r="F388" s="27">
        <v>2023</v>
      </c>
      <c r="G388" s="22" t="s">
        <v>25</v>
      </c>
      <c r="H388" s="22" t="s">
        <v>62</v>
      </c>
      <c r="I388" s="22" t="s">
        <v>63</v>
      </c>
      <c r="J388" s="45">
        <v>5000</v>
      </c>
      <c r="K388" s="1">
        <v>6</v>
      </c>
      <c r="L388" s="2">
        <v>0</v>
      </c>
      <c r="M388" s="45">
        <v>30000</v>
      </c>
      <c r="N388" s="45">
        <v>19966</v>
      </c>
      <c r="O388" s="45">
        <v>10034</v>
      </c>
      <c r="P388" s="3">
        <v>33.450000000000003</v>
      </c>
      <c r="Q388" s="32" t="s">
        <v>81</v>
      </c>
      <c r="R388" s="32" t="s">
        <v>67</v>
      </c>
      <c r="S388" s="32" t="s">
        <v>40</v>
      </c>
      <c r="T388" s="32" t="s">
        <v>41</v>
      </c>
      <c r="U388" s="38">
        <v>3</v>
      </c>
      <c r="V388" s="9"/>
    </row>
    <row r="389" spans="1:22" x14ac:dyDescent="0.35">
      <c r="A389" s="18" t="s">
        <v>482</v>
      </c>
      <c r="B389" s="8">
        <v>45425</v>
      </c>
      <c r="C389" s="23" t="s">
        <v>90</v>
      </c>
      <c r="D389" s="23" t="s">
        <v>116</v>
      </c>
      <c r="E389" s="23" t="s">
        <v>35</v>
      </c>
      <c r="F389" s="28">
        <v>2024</v>
      </c>
      <c r="G389" s="23" t="s">
        <v>36</v>
      </c>
      <c r="H389" s="23" t="s">
        <v>80</v>
      </c>
      <c r="I389" s="23" t="s">
        <v>55</v>
      </c>
      <c r="J389" s="46">
        <v>25000</v>
      </c>
      <c r="K389" s="4">
        <v>3</v>
      </c>
      <c r="L389" s="5">
        <v>15</v>
      </c>
      <c r="M389" s="46">
        <v>63750</v>
      </c>
      <c r="N389" s="46">
        <v>41637</v>
      </c>
      <c r="O389" s="46">
        <v>22113</v>
      </c>
      <c r="P389" s="6">
        <v>34.69</v>
      </c>
      <c r="Q389" s="33" t="s">
        <v>81</v>
      </c>
      <c r="R389" s="33" t="s">
        <v>56</v>
      </c>
      <c r="S389" s="33" t="s">
        <v>85</v>
      </c>
      <c r="T389" s="33" t="s">
        <v>41</v>
      </c>
      <c r="U389" s="39">
        <v>1</v>
      </c>
      <c r="V389" s="9"/>
    </row>
    <row r="390" spans="1:22" x14ac:dyDescent="0.35">
      <c r="A390" s="17" t="s">
        <v>483</v>
      </c>
      <c r="B390" s="7">
        <v>45004</v>
      </c>
      <c r="C390" s="22" t="s">
        <v>70</v>
      </c>
      <c r="D390" s="22" t="s">
        <v>65</v>
      </c>
      <c r="E390" s="22" t="s">
        <v>48</v>
      </c>
      <c r="F390" s="27">
        <v>2023</v>
      </c>
      <c r="G390" s="22" t="s">
        <v>43</v>
      </c>
      <c r="H390" s="22" t="s">
        <v>101</v>
      </c>
      <c r="I390" s="22" t="s">
        <v>27</v>
      </c>
      <c r="J390" s="45">
        <v>9000</v>
      </c>
      <c r="K390" s="1">
        <v>1</v>
      </c>
      <c r="L390" s="2">
        <v>20</v>
      </c>
      <c r="M390" s="45">
        <v>7200</v>
      </c>
      <c r="N390" s="45">
        <v>4672</v>
      </c>
      <c r="O390" s="45">
        <v>2528</v>
      </c>
      <c r="P390" s="3">
        <v>35.11</v>
      </c>
      <c r="Q390" s="32" t="s">
        <v>51</v>
      </c>
      <c r="R390" s="32" t="s">
        <v>29</v>
      </c>
      <c r="S390" s="32" t="s">
        <v>68</v>
      </c>
      <c r="T390" s="32" t="s">
        <v>41</v>
      </c>
      <c r="U390" s="38">
        <v>5</v>
      </c>
      <c r="V390" s="9"/>
    </row>
    <row r="391" spans="1:22" x14ac:dyDescent="0.35">
      <c r="A391" s="18" t="s">
        <v>484</v>
      </c>
      <c r="B391" s="8">
        <v>45479</v>
      </c>
      <c r="C391" s="23" t="s">
        <v>53</v>
      </c>
      <c r="D391" s="23" t="s">
        <v>71</v>
      </c>
      <c r="E391" s="23" t="s">
        <v>72</v>
      </c>
      <c r="F391" s="28">
        <v>2024</v>
      </c>
      <c r="G391" s="23" t="s">
        <v>25</v>
      </c>
      <c r="H391" s="23" t="s">
        <v>131</v>
      </c>
      <c r="I391" s="23" t="s">
        <v>63</v>
      </c>
      <c r="J391" s="46">
        <v>10000</v>
      </c>
      <c r="K391" s="4">
        <v>6</v>
      </c>
      <c r="L391" s="5">
        <v>5</v>
      </c>
      <c r="M391" s="46">
        <v>57000</v>
      </c>
      <c r="N391" s="46">
        <v>33514</v>
      </c>
      <c r="O391" s="46">
        <v>23486</v>
      </c>
      <c r="P391" s="6">
        <v>41.2</v>
      </c>
      <c r="Q391" s="33" t="s">
        <v>75</v>
      </c>
      <c r="R391" s="33" t="s">
        <v>45</v>
      </c>
      <c r="S391" s="33" t="s">
        <v>68</v>
      </c>
      <c r="T391" s="33" t="s">
        <v>31</v>
      </c>
      <c r="U391" s="39">
        <v>4</v>
      </c>
      <c r="V391" s="9"/>
    </row>
    <row r="392" spans="1:22" x14ac:dyDescent="0.35">
      <c r="A392" s="17" t="s">
        <v>485</v>
      </c>
      <c r="B392" s="7">
        <v>45299</v>
      </c>
      <c r="C392" s="22" t="s">
        <v>90</v>
      </c>
      <c r="D392" s="22" t="s">
        <v>47</v>
      </c>
      <c r="E392" s="22" t="s">
        <v>48</v>
      </c>
      <c r="F392" s="27">
        <v>2024</v>
      </c>
      <c r="G392" s="22" t="s">
        <v>36</v>
      </c>
      <c r="H392" s="22" t="s">
        <v>80</v>
      </c>
      <c r="I392" s="22" t="s">
        <v>55</v>
      </c>
      <c r="J392" s="45">
        <v>25000</v>
      </c>
      <c r="K392" s="1">
        <v>4</v>
      </c>
      <c r="L392" s="2">
        <v>20</v>
      </c>
      <c r="M392" s="45">
        <v>80000</v>
      </c>
      <c r="N392" s="45">
        <v>57110</v>
      </c>
      <c r="O392" s="45">
        <v>22890</v>
      </c>
      <c r="P392" s="3">
        <v>28.61</v>
      </c>
      <c r="Q392" s="32" t="s">
        <v>75</v>
      </c>
      <c r="R392" s="32" t="s">
        <v>56</v>
      </c>
      <c r="S392" s="32" t="s">
        <v>85</v>
      </c>
      <c r="T392" s="32" t="s">
        <v>41</v>
      </c>
      <c r="U392" s="38">
        <v>2</v>
      </c>
      <c r="V392" s="9"/>
    </row>
    <row r="393" spans="1:22" x14ac:dyDescent="0.35">
      <c r="A393" s="18" t="s">
        <v>486</v>
      </c>
      <c r="B393" s="8">
        <v>45110</v>
      </c>
      <c r="C393" s="23" t="s">
        <v>90</v>
      </c>
      <c r="D393" s="23" t="s">
        <v>71</v>
      </c>
      <c r="E393" s="23" t="s">
        <v>72</v>
      </c>
      <c r="F393" s="28">
        <v>2023</v>
      </c>
      <c r="G393" s="23" t="s">
        <v>25</v>
      </c>
      <c r="H393" s="23" t="s">
        <v>88</v>
      </c>
      <c r="I393" s="23" t="s">
        <v>55</v>
      </c>
      <c r="J393" s="46">
        <v>8000</v>
      </c>
      <c r="K393" s="4">
        <v>3</v>
      </c>
      <c r="L393" s="5">
        <v>15</v>
      </c>
      <c r="M393" s="46">
        <v>20400</v>
      </c>
      <c r="N393" s="46">
        <v>13759</v>
      </c>
      <c r="O393" s="46">
        <v>6641</v>
      </c>
      <c r="P393" s="6">
        <v>32.549999999999997</v>
      </c>
      <c r="Q393" s="33" t="s">
        <v>81</v>
      </c>
      <c r="R393" s="33" t="s">
        <v>76</v>
      </c>
      <c r="S393" s="33" t="s">
        <v>68</v>
      </c>
      <c r="T393" s="33" t="s">
        <v>31</v>
      </c>
      <c r="U393" s="39">
        <v>1</v>
      </c>
      <c r="V393" s="9"/>
    </row>
    <row r="394" spans="1:22" x14ac:dyDescent="0.35">
      <c r="A394" s="17" t="s">
        <v>487</v>
      </c>
      <c r="B394" s="7">
        <v>45197</v>
      </c>
      <c r="C394" s="22" t="s">
        <v>33</v>
      </c>
      <c r="D394" s="22" t="s">
        <v>79</v>
      </c>
      <c r="E394" s="22" t="s">
        <v>72</v>
      </c>
      <c r="F394" s="27">
        <v>2023</v>
      </c>
      <c r="G394" s="22" t="s">
        <v>25</v>
      </c>
      <c r="H394" s="22" t="s">
        <v>104</v>
      </c>
      <c r="I394" s="22" t="s">
        <v>50</v>
      </c>
      <c r="J394" s="45">
        <v>15000</v>
      </c>
      <c r="K394" s="1">
        <v>1</v>
      </c>
      <c r="L394" s="2">
        <v>15</v>
      </c>
      <c r="M394" s="45">
        <v>12750</v>
      </c>
      <c r="N394" s="45">
        <v>7461</v>
      </c>
      <c r="O394" s="45">
        <v>5289</v>
      </c>
      <c r="P394" s="3">
        <v>41.48</v>
      </c>
      <c r="Q394" s="32" t="s">
        <v>81</v>
      </c>
      <c r="R394" s="32" t="s">
        <v>67</v>
      </c>
      <c r="S394" s="32" t="s">
        <v>40</v>
      </c>
      <c r="T394" s="32" t="s">
        <v>31</v>
      </c>
      <c r="U394" s="38">
        <v>1</v>
      </c>
      <c r="V394" s="9"/>
    </row>
    <row r="395" spans="1:22" x14ac:dyDescent="0.35">
      <c r="A395" s="18" t="s">
        <v>488</v>
      </c>
      <c r="B395" s="8">
        <v>45591</v>
      </c>
      <c r="C395" s="23" t="s">
        <v>53</v>
      </c>
      <c r="D395" s="23" t="s">
        <v>23</v>
      </c>
      <c r="E395" s="23" t="s">
        <v>24</v>
      </c>
      <c r="F395" s="28">
        <v>2024</v>
      </c>
      <c r="G395" s="23" t="s">
        <v>36</v>
      </c>
      <c r="H395" s="23" t="s">
        <v>117</v>
      </c>
      <c r="I395" s="23" t="s">
        <v>50</v>
      </c>
      <c r="J395" s="46">
        <v>8000</v>
      </c>
      <c r="K395" s="4">
        <v>9</v>
      </c>
      <c r="L395" s="5">
        <v>15</v>
      </c>
      <c r="M395" s="46">
        <v>61200</v>
      </c>
      <c r="N395" s="46">
        <v>42292</v>
      </c>
      <c r="O395" s="46">
        <v>18908</v>
      </c>
      <c r="P395" s="6">
        <v>30.9</v>
      </c>
      <c r="Q395" s="33" t="s">
        <v>81</v>
      </c>
      <c r="R395" s="33" t="s">
        <v>29</v>
      </c>
      <c r="S395" s="33" t="s">
        <v>85</v>
      </c>
      <c r="T395" s="33" t="s">
        <v>41</v>
      </c>
      <c r="U395" s="39">
        <v>4</v>
      </c>
      <c r="V395" s="9"/>
    </row>
    <row r="396" spans="1:22" x14ac:dyDescent="0.35">
      <c r="A396" s="17" t="s">
        <v>489</v>
      </c>
      <c r="B396" s="7">
        <v>45301</v>
      </c>
      <c r="C396" s="22" t="s">
        <v>22</v>
      </c>
      <c r="D396" s="22" t="s">
        <v>47</v>
      </c>
      <c r="E396" s="22" t="s">
        <v>48</v>
      </c>
      <c r="F396" s="27">
        <v>2024</v>
      </c>
      <c r="G396" s="22" t="s">
        <v>61</v>
      </c>
      <c r="H396" s="22" t="s">
        <v>80</v>
      </c>
      <c r="I396" s="22" t="s">
        <v>55</v>
      </c>
      <c r="J396" s="45">
        <v>25000</v>
      </c>
      <c r="K396" s="1">
        <v>9</v>
      </c>
      <c r="L396" s="2">
        <v>0</v>
      </c>
      <c r="M396" s="45">
        <v>225000</v>
      </c>
      <c r="N396" s="45">
        <v>138145</v>
      </c>
      <c r="O396" s="45">
        <v>86855</v>
      </c>
      <c r="P396" s="3">
        <v>38.6</v>
      </c>
      <c r="Q396" s="32" t="s">
        <v>39</v>
      </c>
      <c r="R396" s="32" t="s">
        <v>29</v>
      </c>
      <c r="S396" s="32" t="s">
        <v>40</v>
      </c>
      <c r="T396" s="32" t="s">
        <v>41</v>
      </c>
      <c r="U396" s="38">
        <v>4</v>
      </c>
      <c r="V396" s="9"/>
    </row>
    <row r="397" spans="1:22" x14ac:dyDescent="0.35">
      <c r="A397" s="18" t="s">
        <v>490</v>
      </c>
      <c r="B397" s="8">
        <v>45420</v>
      </c>
      <c r="C397" s="23" t="s">
        <v>22</v>
      </c>
      <c r="D397" s="23" t="s">
        <v>116</v>
      </c>
      <c r="E397" s="23" t="s">
        <v>35</v>
      </c>
      <c r="F397" s="28">
        <v>2024</v>
      </c>
      <c r="G397" s="23" t="s">
        <v>61</v>
      </c>
      <c r="H397" s="23" t="s">
        <v>80</v>
      </c>
      <c r="I397" s="23" t="s">
        <v>55</v>
      </c>
      <c r="J397" s="46">
        <v>25000</v>
      </c>
      <c r="K397" s="4">
        <v>9</v>
      </c>
      <c r="L397" s="5">
        <v>0</v>
      </c>
      <c r="M397" s="46">
        <v>225000</v>
      </c>
      <c r="N397" s="46">
        <v>140576</v>
      </c>
      <c r="O397" s="46">
        <v>84424</v>
      </c>
      <c r="P397" s="6">
        <v>37.520000000000003</v>
      </c>
      <c r="Q397" s="33" t="s">
        <v>39</v>
      </c>
      <c r="R397" s="33" t="s">
        <v>76</v>
      </c>
      <c r="S397" s="33" t="s">
        <v>85</v>
      </c>
      <c r="T397" s="33" t="s">
        <v>31</v>
      </c>
      <c r="U397" s="39">
        <v>2</v>
      </c>
      <c r="V397" s="9"/>
    </row>
    <row r="398" spans="1:22" x14ac:dyDescent="0.35">
      <c r="A398" s="17" t="s">
        <v>491</v>
      </c>
      <c r="B398" s="7">
        <v>45118</v>
      </c>
      <c r="C398" s="22" t="s">
        <v>83</v>
      </c>
      <c r="D398" s="22" t="s">
        <v>71</v>
      </c>
      <c r="E398" s="22" t="s">
        <v>72</v>
      </c>
      <c r="F398" s="27">
        <v>2023</v>
      </c>
      <c r="G398" s="22" t="s">
        <v>43</v>
      </c>
      <c r="H398" s="22" t="s">
        <v>123</v>
      </c>
      <c r="I398" s="22" t="s">
        <v>38</v>
      </c>
      <c r="J398" s="45">
        <v>14000</v>
      </c>
      <c r="K398" s="1">
        <v>10</v>
      </c>
      <c r="L398" s="2">
        <v>15</v>
      </c>
      <c r="M398" s="45">
        <v>119000</v>
      </c>
      <c r="N398" s="45">
        <v>81977</v>
      </c>
      <c r="O398" s="45">
        <v>37023</v>
      </c>
      <c r="P398" s="3">
        <v>31.11</v>
      </c>
      <c r="Q398" s="32" t="s">
        <v>39</v>
      </c>
      <c r="R398" s="32" t="s">
        <v>67</v>
      </c>
      <c r="S398" s="32" t="s">
        <v>57</v>
      </c>
      <c r="T398" s="32" t="s">
        <v>41</v>
      </c>
      <c r="U398" s="38">
        <v>4</v>
      </c>
      <c r="V398" s="9"/>
    </row>
    <row r="399" spans="1:22" x14ac:dyDescent="0.35">
      <c r="A399" s="18" t="s">
        <v>492</v>
      </c>
      <c r="B399" s="8">
        <v>45417</v>
      </c>
      <c r="C399" s="23" t="s">
        <v>70</v>
      </c>
      <c r="D399" s="23" t="s">
        <v>116</v>
      </c>
      <c r="E399" s="23" t="s">
        <v>35</v>
      </c>
      <c r="F399" s="28">
        <v>2024</v>
      </c>
      <c r="G399" s="23" t="s">
        <v>36</v>
      </c>
      <c r="H399" s="23" t="s">
        <v>66</v>
      </c>
      <c r="I399" s="23" t="s">
        <v>38</v>
      </c>
      <c r="J399" s="46">
        <v>11000</v>
      </c>
      <c r="K399" s="4">
        <v>3</v>
      </c>
      <c r="L399" s="5">
        <v>15</v>
      </c>
      <c r="M399" s="46">
        <v>28050</v>
      </c>
      <c r="N399" s="46">
        <v>19401</v>
      </c>
      <c r="O399" s="46">
        <v>8649</v>
      </c>
      <c r="P399" s="6">
        <v>30.83</v>
      </c>
      <c r="Q399" s="33" t="s">
        <v>28</v>
      </c>
      <c r="R399" s="33" t="s">
        <v>56</v>
      </c>
      <c r="S399" s="33" t="s">
        <v>30</v>
      </c>
      <c r="T399" s="33" t="s">
        <v>31</v>
      </c>
      <c r="U399" s="39">
        <v>2</v>
      </c>
      <c r="V399" s="9"/>
    </row>
    <row r="400" spans="1:22" x14ac:dyDescent="0.35">
      <c r="A400" s="17" t="s">
        <v>493</v>
      </c>
      <c r="B400" s="7">
        <v>45571</v>
      </c>
      <c r="C400" s="22" t="s">
        <v>70</v>
      </c>
      <c r="D400" s="22" t="s">
        <v>23</v>
      </c>
      <c r="E400" s="22" t="s">
        <v>24</v>
      </c>
      <c r="F400" s="27">
        <v>2024</v>
      </c>
      <c r="G400" s="22" t="s">
        <v>25</v>
      </c>
      <c r="H400" s="22" t="s">
        <v>80</v>
      </c>
      <c r="I400" s="22" t="s">
        <v>55</v>
      </c>
      <c r="J400" s="45">
        <v>25000</v>
      </c>
      <c r="K400" s="1">
        <v>10</v>
      </c>
      <c r="L400" s="2">
        <v>0</v>
      </c>
      <c r="M400" s="45">
        <v>250000</v>
      </c>
      <c r="N400" s="45">
        <v>139876</v>
      </c>
      <c r="O400" s="45">
        <v>110124</v>
      </c>
      <c r="P400" s="3">
        <v>44.05</v>
      </c>
      <c r="Q400" s="32" t="s">
        <v>81</v>
      </c>
      <c r="R400" s="32" t="s">
        <v>56</v>
      </c>
      <c r="S400" s="32" t="s">
        <v>85</v>
      </c>
      <c r="T400" s="32" t="s">
        <v>31</v>
      </c>
      <c r="U400" s="38">
        <v>3</v>
      </c>
      <c r="V400" s="9"/>
    </row>
    <row r="401" spans="1:22" x14ac:dyDescent="0.35">
      <c r="A401" s="18" t="s">
        <v>494</v>
      </c>
      <c r="B401" s="8">
        <v>45014</v>
      </c>
      <c r="C401" s="23" t="s">
        <v>22</v>
      </c>
      <c r="D401" s="23" t="s">
        <v>65</v>
      </c>
      <c r="E401" s="23" t="s">
        <v>48</v>
      </c>
      <c r="F401" s="28">
        <v>2023</v>
      </c>
      <c r="G401" s="23" t="s">
        <v>36</v>
      </c>
      <c r="H401" s="23" t="s">
        <v>113</v>
      </c>
      <c r="I401" s="23" t="s">
        <v>38</v>
      </c>
      <c r="J401" s="46">
        <v>3500</v>
      </c>
      <c r="K401" s="4">
        <v>10</v>
      </c>
      <c r="L401" s="5">
        <v>5</v>
      </c>
      <c r="M401" s="46">
        <v>33250</v>
      </c>
      <c r="N401" s="46">
        <v>23190</v>
      </c>
      <c r="O401" s="46">
        <v>10060</v>
      </c>
      <c r="P401" s="6">
        <v>30.26</v>
      </c>
      <c r="Q401" s="33" t="s">
        <v>39</v>
      </c>
      <c r="R401" s="33" t="s">
        <v>56</v>
      </c>
      <c r="S401" s="33" t="s">
        <v>40</v>
      </c>
      <c r="T401" s="33" t="s">
        <v>31</v>
      </c>
      <c r="U401" s="39">
        <v>5</v>
      </c>
      <c r="V401" s="9"/>
    </row>
    <row r="402" spans="1:22" x14ac:dyDescent="0.35">
      <c r="A402" s="17" t="s">
        <v>495</v>
      </c>
      <c r="B402" s="7">
        <v>45602</v>
      </c>
      <c r="C402" s="22" t="s">
        <v>22</v>
      </c>
      <c r="D402" s="22" t="s">
        <v>110</v>
      </c>
      <c r="E402" s="22" t="s">
        <v>24</v>
      </c>
      <c r="F402" s="27">
        <v>2024</v>
      </c>
      <c r="G402" s="22" t="s">
        <v>43</v>
      </c>
      <c r="H402" s="22" t="s">
        <v>54</v>
      </c>
      <c r="I402" s="22" t="s">
        <v>55</v>
      </c>
      <c r="J402" s="45">
        <v>18000</v>
      </c>
      <c r="K402" s="1">
        <v>3</v>
      </c>
      <c r="L402" s="2">
        <v>15</v>
      </c>
      <c r="M402" s="45">
        <v>45900</v>
      </c>
      <c r="N402" s="45">
        <v>30595</v>
      </c>
      <c r="O402" s="45">
        <v>15305</v>
      </c>
      <c r="P402" s="3">
        <v>33.340000000000003</v>
      </c>
      <c r="Q402" s="32" t="s">
        <v>51</v>
      </c>
      <c r="R402" s="32" t="s">
        <v>29</v>
      </c>
      <c r="S402" s="32" t="s">
        <v>85</v>
      </c>
      <c r="T402" s="32" t="s">
        <v>31</v>
      </c>
      <c r="U402" s="38">
        <v>4</v>
      </c>
      <c r="V402" s="9"/>
    </row>
    <row r="403" spans="1:22" x14ac:dyDescent="0.35">
      <c r="A403" s="18" t="s">
        <v>496</v>
      </c>
      <c r="B403" s="8">
        <v>45321</v>
      </c>
      <c r="C403" s="23" t="s">
        <v>83</v>
      </c>
      <c r="D403" s="23" t="s">
        <v>47</v>
      </c>
      <c r="E403" s="23" t="s">
        <v>48</v>
      </c>
      <c r="F403" s="28">
        <v>2024</v>
      </c>
      <c r="G403" s="23" t="s">
        <v>43</v>
      </c>
      <c r="H403" s="23" t="s">
        <v>106</v>
      </c>
      <c r="I403" s="23" t="s">
        <v>38</v>
      </c>
      <c r="J403" s="46">
        <v>12000</v>
      </c>
      <c r="K403" s="4">
        <v>1</v>
      </c>
      <c r="L403" s="5">
        <v>0</v>
      </c>
      <c r="M403" s="46">
        <v>12000</v>
      </c>
      <c r="N403" s="46">
        <v>7666</v>
      </c>
      <c r="O403" s="46">
        <v>4334</v>
      </c>
      <c r="P403" s="6">
        <v>36.119999999999997</v>
      </c>
      <c r="Q403" s="33" t="s">
        <v>75</v>
      </c>
      <c r="R403" s="33" t="s">
        <v>67</v>
      </c>
      <c r="S403" s="33" t="s">
        <v>68</v>
      </c>
      <c r="T403" s="33" t="s">
        <v>31</v>
      </c>
      <c r="U403" s="39">
        <v>4</v>
      </c>
      <c r="V403" s="9"/>
    </row>
    <row r="404" spans="1:22" x14ac:dyDescent="0.35">
      <c r="A404" s="17" t="s">
        <v>497</v>
      </c>
      <c r="B404" s="7">
        <v>45556</v>
      </c>
      <c r="C404" s="22" t="s">
        <v>53</v>
      </c>
      <c r="D404" s="22" t="s">
        <v>79</v>
      </c>
      <c r="E404" s="22" t="s">
        <v>72</v>
      </c>
      <c r="F404" s="27">
        <v>2024</v>
      </c>
      <c r="G404" s="22" t="s">
        <v>43</v>
      </c>
      <c r="H404" s="22" t="s">
        <v>80</v>
      </c>
      <c r="I404" s="22" t="s">
        <v>55</v>
      </c>
      <c r="J404" s="45">
        <v>25000</v>
      </c>
      <c r="K404" s="1">
        <v>9</v>
      </c>
      <c r="L404" s="2">
        <v>10</v>
      </c>
      <c r="M404" s="45">
        <v>202500</v>
      </c>
      <c r="N404" s="45">
        <v>137276</v>
      </c>
      <c r="O404" s="45">
        <v>65224</v>
      </c>
      <c r="P404" s="3">
        <v>32.21</v>
      </c>
      <c r="Q404" s="32" t="s">
        <v>28</v>
      </c>
      <c r="R404" s="32" t="s">
        <v>67</v>
      </c>
      <c r="S404" s="32" t="s">
        <v>68</v>
      </c>
      <c r="T404" s="32" t="s">
        <v>41</v>
      </c>
      <c r="U404" s="38">
        <v>5</v>
      </c>
      <c r="V404" s="9"/>
    </row>
    <row r="405" spans="1:22" x14ac:dyDescent="0.35">
      <c r="A405" s="18" t="s">
        <v>498</v>
      </c>
      <c r="B405" s="8">
        <v>45357</v>
      </c>
      <c r="C405" s="23" t="s">
        <v>22</v>
      </c>
      <c r="D405" s="23" t="s">
        <v>65</v>
      </c>
      <c r="E405" s="23" t="s">
        <v>48</v>
      </c>
      <c r="F405" s="28">
        <v>2024</v>
      </c>
      <c r="G405" s="23" t="s">
        <v>43</v>
      </c>
      <c r="H405" s="23" t="s">
        <v>117</v>
      </c>
      <c r="I405" s="23" t="s">
        <v>50</v>
      </c>
      <c r="J405" s="46">
        <v>8000</v>
      </c>
      <c r="K405" s="4">
        <v>9</v>
      </c>
      <c r="L405" s="5">
        <v>5</v>
      </c>
      <c r="M405" s="46">
        <v>68400</v>
      </c>
      <c r="N405" s="46">
        <v>40288</v>
      </c>
      <c r="O405" s="46">
        <v>28112</v>
      </c>
      <c r="P405" s="6">
        <v>41.1</v>
      </c>
      <c r="Q405" s="33" t="s">
        <v>51</v>
      </c>
      <c r="R405" s="33" t="s">
        <v>67</v>
      </c>
      <c r="S405" s="33" t="s">
        <v>57</v>
      </c>
      <c r="T405" s="33" t="s">
        <v>41</v>
      </c>
      <c r="U405" s="39">
        <v>2</v>
      </c>
      <c r="V405" s="9"/>
    </row>
    <row r="406" spans="1:22" x14ac:dyDescent="0.35">
      <c r="A406" s="17" t="s">
        <v>499</v>
      </c>
      <c r="B406" s="7">
        <v>45187</v>
      </c>
      <c r="C406" s="22" t="s">
        <v>90</v>
      </c>
      <c r="D406" s="22" t="s">
        <v>79</v>
      </c>
      <c r="E406" s="22" t="s">
        <v>72</v>
      </c>
      <c r="F406" s="27">
        <v>2023</v>
      </c>
      <c r="G406" s="22" t="s">
        <v>36</v>
      </c>
      <c r="H406" s="22" t="s">
        <v>131</v>
      </c>
      <c r="I406" s="22" t="s">
        <v>63</v>
      </c>
      <c r="J406" s="45">
        <v>10000</v>
      </c>
      <c r="K406" s="1">
        <v>2</v>
      </c>
      <c r="L406" s="2">
        <v>0</v>
      </c>
      <c r="M406" s="45">
        <v>20000</v>
      </c>
      <c r="N406" s="45">
        <v>13034</v>
      </c>
      <c r="O406" s="45">
        <v>6966</v>
      </c>
      <c r="P406" s="3">
        <v>34.83</v>
      </c>
      <c r="Q406" s="32" t="s">
        <v>75</v>
      </c>
      <c r="R406" s="32" t="s">
        <v>67</v>
      </c>
      <c r="S406" s="32" t="s">
        <v>57</v>
      </c>
      <c r="T406" s="32" t="s">
        <v>31</v>
      </c>
      <c r="U406" s="38">
        <v>1</v>
      </c>
      <c r="V406" s="9"/>
    </row>
    <row r="407" spans="1:22" x14ac:dyDescent="0.35">
      <c r="A407" s="18" t="s">
        <v>500</v>
      </c>
      <c r="B407" s="8">
        <v>45518</v>
      </c>
      <c r="C407" s="23" t="s">
        <v>22</v>
      </c>
      <c r="D407" s="23" t="s">
        <v>108</v>
      </c>
      <c r="E407" s="23" t="s">
        <v>72</v>
      </c>
      <c r="F407" s="28">
        <v>2024</v>
      </c>
      <c r="G407" s="23" t="s">
        <v>61</v>
      </c>
      <c r="H407" s="23" t="s">
        <v>80</v>
      </c>
      <c r="I407" s="23" t="s">
        <v>55</v>
      </c>
      <c r="J407" s="46">
        <v>25000</v>
      </c>
      <c r="K407" s="4">
        <v>9</v>
      </c>
      <c r="L407" s="5">
        <v>0</v>
      </c>
      <c r="M407" s="46">
        <v>225000</v>
      </c>
      <c r="N407" s="46">
        <v>138095</v>
      </c>
      <c r="O407" s="46">
        <v>86905</v>
      </c>
      <c r="P407" s="6">
        <v>38.619999999999997</v>
      </c>
      <c r="Q407" s="33" t="s">
        <v>39</v>
      </c>
      <c r="R407" s="33" t="s">
        <v>45</v>
      </c>
      <c r="S407" s="33" t="s">
        <v>40</v>
      </c>
      <c r="T407" s="33" t="s">
        <v>31</v>
      </c>
      <c r="U407" s="39">
        <v>2</v>
      </c>
      <c r="V407" s="9"/>
    </row>
    <row r="408" spans="1:22" x14ac:dyDescent="0.35">
      <c r="A408" s="17" t="s">
        <v>501</v>
      </c>
      <c r="B408" s="7">
        <v>45363</v>
      </c>
      <c r="C408" s="22" t="s">
        <v>83</v>
      </c>
      <c r="D408" s="22" t="s">
        <v>65</v>
      </c>
      <c r="E408" s="22" t="s">
        <v>48</v>
      </c>
      <c r="F408" s="27">
        <v>2024</v>
      </c>
      <c r="G408" s="22" t="s">
        <v>61</v>
      </c>
      <c r="H408" s="22" t="s">
        <v>54</v>
      </c>
      <c r="I408" s="22" t="s">
        <v>55</v>
      </c>
      <c r="J408" s="45">
        <v>18000</v>
      </c>
      <c r="K408" s="1">
        <v>5</v>
      </c>
      <c r="L408" s="2">
        <v>20</v>
      </c>
      <c r="M408" s="45">
        <v>72000</v>
      </c>
      <c r="N408" s="45">
        <v>46162</v>
      </c>
      <c r="O408" s="45">
        <v>25838</v>
      </c>
      <c r="P408" s="3">
        <v>35.89</v>
      </c>
      <c r="Q408" s="32" t="s">
        <v>75</v>
      </c>
      <c r="R408" s="32" t="s">
        <v>45</v>
      </c>
      <c r="S408" s="32" t="s">
        <v>85</v>
      </c>
      <c r="T408" s="32" t="s">
        <v>41</v>
      </c>
      <c r="U408" s="38">
        <v>2</v>
      </c>
      <c r="V408" s="9"/>
    </row>
    <row r="409" spans="1:22" x14ac:dyDescent="0.35">
      <c r="A409" s="18" t="s">
        <v>502</v>
      </c>
      <c r="B409" s="8">
        <v>45350</v>
      </c>
      <c r="C409" s="23" t="s">
        <v>22</v>
      </c>
      <c r="D409" s="23" t="s">
        <v>74</v>
      </c>
      <c r="E409" s="23" t="s">
        <v>48</v>
      </c>
      <c r="F409" s="28">
        <v>2024</v>
      </c>
      <c r="G409" s="23" t="s">
        <v>61</v>
      </c>
      <c r="H409" s="23" t="s">
        <v>88</v>
      </c>
      <c r="I409" s="23" t="s">
        <v>55</v>
      </c>
      <c r="J409" s="46">
        <v>8000</v>
      </c>
      <c r="K409" s="4">
        <v>8</v>
      </c>
      <c r="L409" s="5">
        <v>0</v>
      </c>
      <c r="M409" s="46">
        <v>64000</v>
      </c>
      <c r="N409" s="46">
        <v>39228</v>
      </c>
      <c r="O409" s="46">
        <v>24772</v>
      </c>
      <c r="P409" s="6">
        <v>38.71</v>
      </c>
      <c r="Q409" s="33" t="s">
        <v>75</v>
      </c>
      <c r="R409" s="33" t="s">
        <v>67</v>
      </c>
      <c r="S409" s="33" t="s">
        <v>57</v>
      </c>
      <c r="T409" s="33" t="s">
        <v>41</v>
      </c>
      <c r="U409" s="39">
        <v>4</v>
      </c>
      <c r="V409" s="9"/>
    </row>
    <row r="410" spans="1:22" x14ac:dyDescent="0.35">
      <c r="A410" s="17" t="s">
        <v>503</v>
      </c>
      <c r="B410" s="7">
        <v>45068</v>
      </c>
      <c r="C410" s="22" t="s">
        <v>90</v>
      </c>
      <c r="D410" s="22" t="s">
        <v>116</v>
      </c>
      <c r="E410" s="22" t="s">
        <v>35</v>
      </c>
      <c r="F410" s="27">
        <v>2023</v>
      </c>
      <c r="G410" s="22" t="s">
        <v>25</v>
      </c>
      <c r="H410" s="22" t="s">
        <v>44</v>
      </c>
      <c r="I410" s="22" t="s">
        <v>27</v>
      </c>
      <c r="J410" s="45">
        <v>6000</v>
      </c>
      <c r="K410" s="1">
        <v>8</v>
      </c>
      <c r="L410" s="2">
        <v>20</v>
      </c>
      <c r="M410" s="45">
        <v>38400</v>
      </c>
      <c r="N410" s="45">
        <v>25685</v>
      </c>
      <c r="O410" s="45">
        <v>12715</v>
      </c>
      <c r="P410" s="3">
        <v>33.11</v>
      </c>
      <c r="Q410" s="32" t="s">
        <v>39</v>
      </c>
      <c r="R410" s="32" t="s">
        <v>76</v>
      </c>
      <c r="S410" s="32" t="s">
        <v>68</v>
      </c>
      <c r="T410" s="32" t="s">
        <v>41</v>
      </c>
      <c r="U410" s="38">
        <v>5</v>
      </c>
      <c r="V410" s="9"/>
    </row>
    <row r="411" spans="1:22" x14ac:dyDescent="0.35">
      <c r="A411" s="18" t="s">
        <v>504</v>
      </c>
      <c r="B411" s="8">
        <v>45555</v>
      </c>
      <c r="C411" s="23" t="s">
        <v>78</v>
      </c>
      <c r="D411" s="23" t="s">
        <v>79</v>
      </c>
      <c r="E411" s="23" t="s">
        <v>72</v>
      </c>
      <c r="F411" s="28">
        <v>2024</v>
      </c>
      <c r="G411" s="23" t="s">
        <v>25</v>
      </c>
      <c r="H411" s="23" t="s">
        <v>44</v>
      </c>
      <c r="I411" s="23" t="s">
        <v>27</v>
      </c>
      <c r="J411" s="46">
        <v>6000</v>
      </c>
      <c r="K411" s="4">
        <v>7</v>
      </c>
      <c r="L411" s="5">
        <v>15</v>
      </c>
      <c r="M411" s="46">
        <v>35700</v>
      </c>
      <c r="N411" s="46">
        <v>19667</v>
      </c>
      <c r="O411" s="46">
        <v>16033</v>
      </c>
      <c r="P411" s="6">
        <v>44.91</v>
      </c>
      <c r="Q411" s="33" t="s">
        <v>28</v>
      </c>
      <c r="R411" s="33" t="s">
        <v>56</v>
      </c>
      <c r="S411" s="33" t="s">
        <v>40</v>
      </c>
      <c r="T411" s="33" t="s">
        <v>31</v>
      </c>
      <c r="U411" s="39">
        <v>1</v>
      </c>
      <c r="V411" s="9"/>
    </row>
    <row r="412" spans="1:22" x14ac:dyDescent="0.35">
      <c r="A412" s="17" t="s">
        <v>505</v>
      </c>
      <c r="B412" s="7">
        <v>45196</v>
      </c>
      <c r="C412" s="22" t="s">
        <v>22</v>
      </c>
      <c r="D412" s="22" t="s">
        <v>79</v>
      </c>
      <c r="E412" s="22" t="s">
        <v>72</v>
      </c>
      <c r="F412" s="27">
        <v>2023</v>
      </c>
      <c r="G412" s="22" t="s">
        <v>61</v>
      </c>
      <c r="H412" s="22" t="s">
        <v>123</v>
      </c>
      <c r="I412" s="22" t="s">
        <v>38</v>
      </c>
      <c r="J412" s="45">
        <v>14000</v>
      </c>
      <c r="K412" s="1">
        <v>2</v>
      </c>
      <c r="L412" s="2">
        <v>10</v>
      </c>
      <c r="M412" s="45">
        <v>25200</v>
      </c>
      <c r="N412" s="45">
        <v>14022</v>
      </c>
      <c r="O412" s="45">
        <v>11178</v>
      </c>
      <c r="P412" s="3">
        <v>44.36</v>
      </c>
      <c r="Q412" s="32" t="s">
        <v>51</v>
      </c>
      <c r="R412" s="32" t="s">
        <v>67</v>
      </c>
      <c r="S412" s="32" t="s">
        <v>85</v>
      </c>
      <c r="T412" s="32" t="s">
        <v>31</v>
      </c>
      <c r="U412" s="38">
        <v>2</v>
      </c>
      <c r="V412" s="9"/>
    </row>
    <row r="413" spans="1:22" x14ac:dyDescent="0.35">
      <c r="A413" s="18" t="s">
        <v>506</v>
      </c>
      <c r="B413" s="8">
        <v>45582</v>
      </c>
      <c r="C413" s="23" t="s">
        <v>33</v>
      </c>
      <c r="D413" s="23" t="s">
        <v>23</v>
      </c>
      <c r="E413" s="23" t="s">
        <v>24</v>
      </c>
      <c r="F413" s="28">
        <v>2024</v>
      </c>
      <c r="G413" s="23" t="s">
        <v>43</v>
      </c>
      <c r="H413" s="23" t="s">
        <v>98</v>
      </c>
      <c r="I413" s="23" t="s">
        <v>63</v>
      </c>
      <c r="J413" s="46">
        <v>28000</v>
      </c>
      <c r="K413" s="4">
        <v>1</v>
      </c>
      <c r="L413" s="5">
        <v>0</v>
      </c>
      <c r="M413" s="46">
        <v>28000</v>
      </c>
      <c r="N413" s="46">
        <v>19449</v>
      </c>
      <c r="O413" s="46">
        <v>8551</v>
      </c>
      <c r="P413" s="6">
        <v>30.54</v>
      </c>
      <c r="Q413" s="33" t="s">
        <v>75</v>
      </c>
      <c r="R413" s="33" t="s">
        <v>45</v>
      </c>
      <c r="S413" s="33" t="s">
        <v>68</v>
      </c>
      <c r="T413" s="33" t="s">
        <v>31</v>
      </c>
      <c r="U413" s="39">
        <v>5</v>
      </c>
      <c r="V413" s="9"/>
    </row>
    <row r="414" spans="1:22" x14ac:dyDescent="0.35">
      <c r="A414" s="17" t="s">
        <v>507</v>
      </c>
      <c r="B414" s="7">
        <v>45100</v>
      </c>
      <c r="C414" s="22" t="s">
        <v>78</v>
      </c>
      <c r="D414" s="22" t="s">
        <v>87</v>
      </c>
      <c r="E414" s="22" t="s">
        <v>35</v>
      </c>
      <c r="F414" s="27">
        <v>2023</v>
      </c>
      <c r="G414" s="22" t="s">
        <v>25</v>
      </c>
      <c r="H414" s="22" t="s">
        <v>84</v>
      </c>
      <c r="I414" s="22" t="s">
        <v>27</v>
      </c>
      <c r="J414" s="45">
        <v>8000</v>
      </c>
      <c r="K414" s="1">
        <v>4</v>
      </c>
      <c r="L414" s="2">
        <v>15</v>
      </c>
      <c r="M414" s="45">
        <v>27200</v>
      </c>
      <c r="N414" s="45">
        <v>14961</v>
      </c>
      <c r="O414" s="45">
        <v>12239</v>
      </c>
      <c r="P414" s="3">
        <v>45</v>
      </c>
      <c r="Q414" s="32" t="s">
        <v>39</v>
      </c>
      <c r="R414" s="32" t="s">
        <v>76</v>
      </c>
      <c r="S414" s="32" t="s">
        <v>57</v>
      </c>
      <c r="T414" s="32" t="s">
        <v>41</v>
      </c>
      <c r="U414" s="38">
        <v>4</v>
      </c>
      <c r="V414" s="9"/>
    </row>
    <row r="415" spans="1:22" x14ac:dyDescent="0.35">
      <c r="A415" s="18" t="s">
        <v>508</v>
      </c>
      <c r="B415" s="8">
        <v>45342</v>
      </c>
      <c r="C415" s="23" t="s">
        <v>83</v>
      </c>
      <c r="D415" s="23" t="s">
        <v>74</v>
      </c>
      <c r="E415" s="23" t="s">
        <v>48</v>
      </c>
      <c r="F415" s="28">
        <v>2024</v>
      </c>
      <c r="G415" s="23" t="s">
        <v>61</v>
      </c>
      <c r="H415" s="23" t="s">
        <v>186</v>
      </c>
      <c r="I415" s="23" t="s">
        <v>55</v>
      </c>
      <c r="J415" s="46">
        <v>20000</v>
      </c>
      <c r="K415" s="4">
        <v>9</v>
      </c>
      <c r="L415" s="5">
        <v>0</v>
      </c>
      <c r="M415" s="46">
        <v>180000</v>
      </c>
      <c r="N415" s="46">
        <v>121550</v>
      </c>
      <c r="O415" s="46">
        <v>58450</v>
      </c>
      <c r="P415" s="6">
        <v>32.47</v>
      </c>
      <c r="Q415" s="33" t="s">
        <v>28</v>
      </c>
      <c r="R415" s="33" t="s">
        <v>76</v>
      </c>
      <c r="S415" s="33" t="s">
        <v>85</v>
      </c>
      <c r="T415" s="33" t="s">
        <v>41</v>
      </c>
      <c r="U415" s="39">
        <v>3</v>
      </c>
      <c r="V415" s="9"/>
    </row>
    <row r="416" spans="1:22" x14ac:dyDescent="0.35">
      <c r="A416" s="17" t="s">
        <v>509</v>
      </c>
      <c r="B416" s="7">
        <v>45210</v>
      </c>
      <c r="C416" s="22" t="s">
        <v>22</v>
      </c>
      <c r="D416" s="22" t="s">
        <v>23</v>
      </c>
      <c r="E416" s="22" t="s">
        <v>24</v>
      </c>
      <c r="F416" s="27">
        <v>2023</v>
      </c>
      <c r="G416" s="22" t="s">
        <v>36</v>
      </c>
      <c r="H416" s="22" t="s">
        <v>66</v>
      </c>
      <c r="I416" s="22" t="s">
        <v>38</v>
      </c>
      <c r="J416" s="45">
        <v>11000</v>
      </c>
      <c r="K416" s="1">
        <v>4</v>
      </c>
      <c r="L416" s="2">
        <v>5</v>
      </c>
      <c r="M416" s="45">
        <v>41800</v>
      </c>
      <c r="N416" s="45">
        <v>29597</v>
      </c>
      <c r="O416" s="45">
        <v>12203</v>
      </c>
      <c r="P416" s="3">
        <v>29.19</v>
      </c>
      <c r="Q416" s="32" t="s">
        <v>75</v>
      </c>
      <c r="R416" s="32" t="s">
        <v>76</v>
      </c>
      <c r="S416" s="32" t="s">
        <v>57</v>
      </c>
      <c r="T416" s="32" t="s">
        <v>41</v>
      </c>
      <c r="U416" s="38">
        <v>5</v>
      </c>
      <c r="V416" s="9"/>
    </row>
    <row r="417" spans="1:22" x14ac:dyDescent="0.35">
      <c r="A417" s="18" t="s">
        <v>510</v>
      </c>
      <c r="B417" s="8">
        <v>45036</v>
      </c>
      <c r="C417" s="23" t="s">
        <v>33</v>
      </c>
      <c r="D417" s="23" t="s">
        <v>34</v>
      </c>
      <c r="E417" s="23" t="s">
        <v>35</v>
      </c>
      <c r="F417" s="28">
        <v>2023</v>
      </c>
      <c r="G417" s="23" t="s">
        <v>61</v>
      </c>
      <c r="H417" s="23" t="s">
        <v>80</v>
      </c>
      <c r="I417" s="23" t="s">
        <v>55</v>
      </c>
      <c r="J417" s="46">
        <v>25000</v>
      </c>
      <c r="K417" s="4">
        <v>9</v>
      </c>
      <c r="L417" s="5">
        <v>0</v>
      </c>
      <c r="M417" s="46">
        <v>225000</v>
      </c>
      <c r="N417" s="46">
        <v>136754</v>
      </c>
      <c r="O417" s="46">
        <v>88246</v>
      </c>
      <c r="P417" s="6">
        <v>39.22</v>
      </c>
      <c r="Q417" s="33" t="s">
        <v>28</v>
      </c>
      <c r="R417" s="33" t="s">
        <v>29</v>
      </c>
      <c r="S417" s="33" t="s">
        <v>57</v>
      </c>
      <c r="T417" s="33" t="s">
        <v>41</v>
      </c>
      <c r="U417" s="39">
        <v>4</v>
      </c>
      <c r="V417" s="9"/>
    </row>
    <row r="418" spans="1:22" x14ac:dyDescent="0.35">
      <c r="A418" s="17" t="s">
        <v>511</v>
      </c>
      <c r="B418" s="7">
        <v>45503</v>
      </c>
      <c r="C418" s="22" t="s">
        <v>83</v>
      </c>
      <c r="D418" s="22" t="s">
        <v>71</v>
      </c>
      <c r="E418" s="22" t="s">
        <v>72</v>
      </c>
      <c r="F418" s="27">
        <v>2024</v>
      </c>
      <c r="G418" s="22" t="s">
        <v>25</v>
      </c>
      <c r="H418" s="22" t="s">
        <v>131</v>
      </c>
      <c r="I418" s="22" t="s">
        <v>63</v>
      </c>
      <c r="J418" s="45">
        <v>10000</v>
      </c>
      <c r="K418" s="1">
        <v>6</v>
      </c>
      <c r="L418" s="2">
        <v>20</v>
      </c>
      <c r="M418" s="45">
        <v>48000</v>
      </c>
      <c r="N418" s="45">
        <v>30144</v>
      </c>
      <c r="O418" s="45">
        <v>17856</v>
      </c>
      <c r="P418" s="3">
        <v>37.200000000000003</v>
      </c>
      <c r="Q418" s="32" t="s">
        <v>51</v>
      </c>
      <c r="R418" s="32" t="s">
        <v>29</v>
      </c>
      <c r="S418" s="32" t="s">
        <v>30</v>
      </c>
      <c r="T418" s="32" t="s">
        <v>31</v>
      </c>
      <c r="U418" s="38">
        <v>3</v>
      </c>
      <c r="V418" s="9"/>
    </row>
    <row r="419" spans="1:22" x14ac:dyDescent="0.35">
      <c r="A419" s="18" t="s">
        <v>512</v>
      </c>
      <c r="B419" s="8">
        <v>44996</v>
      </c>
      <c r="C419" s="23" t="s">
        <v>53</v>
      </c>
      <c r="D419" s="23" t="s">
        <v>65</v>
      </c>
      <c r="E419" s="23" t="s">
        <v>48</v>
      </c>
      <c r="F419" s="28">
        <v>2023</v>
      </c>
      <c r="G419" s="23" t="s">
        <v>43</v>
      </c>
      <c r="H419" s="23" t="s">
        <v>131</v>
      </c>
      <c r="I419" s="23" t="s">
        <v>63</v>
      </c>
      <c r="J419" s="46">
        <v>10000</v>
      </c>
      <c r="K419" s="4">
        <v>4</v>
      </c>
      <c r="L419" s="5">
        <v>20</v>
      </c>
      <c r="M419" s="46">
        <v>32000</v>
      </c>
      <c r="N419" s="46">
        <v>19318</v>
      </c>
      <c r="O419" s="46">
        <v>12682</v>
      </c>
      <c r="P419" s="6">
        <v>39.630000000000003</v>
      </c>
      <c r="Q419" s="33" t="s">
        <v>81</v>
      </c>
      <c r="R419" s="33" t="s">
        <v>29</v>
      </c>
      <c r="S419" s="33" t="s">
        <v>85</v>
      </c>
      <c r="T419" s="33" t="s">
        <v>41</v>
      </c>
      <c r="U419" s="39">
        <v>2</v>
      </c>
      <c r="V419" s="9"/>
    </row>
    <row r="420" spans="1:22" x14ac:dyDescent="0.35">
      <c r="A420" s="17" t="s">
        <v>513</v>
      </c>
      <c r="B420" s="7">
        <v>45221</v>
      </c>
      <c r="C420" s="22" t="s">
        <v>70</v>
      </c>
      <c r="D420" s="22" t="s">
        <v>23</v>
      </c>
      <c r="E420" s="22" t="s">
        <v>24</v>
      </c>
      <c r="F420" s="27">
        <v>2023</v>
      </c>
      <c r="G420" s="22" t="s">
        <v>61</v>
      </c>
      <c r="H420" s="22" t="s">
        <v>174</v>
      </c>
      <c r="I420" s="22" t="s">
        <v>27</v>
      </c>
      <c r="J420" s="45">
        <v>12000</v>
      </c>
      <c r="K420" s="1">
        <v>6</v>
      </c>
      <c r="L420" s="2">
        <v>0</v>
      </c>
      <c r="M420" s="45">
        <v>72000</v>
      </c>
      <c r="N420" s="45">
        <v>46388</v>
      </c>
      <c r="O420" s="45">
        <v>25612</v>
      </c>
      <c r="P420" s="3">
        <v>35.57</v>
      </c>
      <c r="Q420" s="32" t="s">
        <v>39</v>
      </c>
      <c r="R420" s="32" t="s">
        <v>67</v>
      </c>
      <c r="S420" s="32" t="s">
        <v>57</v>
      </c>
      <c r="T420" s="32" t="s">
        <v>31</v>
      </c>
      <c r="U420" s="38">
        <v>5</v>
      </c>
      <c r="V420" s="9"/>
    </row>
    <row r="421" spans="1:22" x14ac:dyDescent="0.35">
      <c r="A421" s="18" t="s">
        <v>514</v>
      </c>
      <c r="B421" s="8">
        <v>45202</v>
      </c>
      <c r="C421" s="23" t="s">
        <v>83</v>
      </c>
      <c r="D421" s="23" t="s">
        <v>23</v>
      </c>
      <c r="E421" s="23" t="s">
        <v>24</v>
      </c>
      <c r="F421" s="28">
        <v>2023</v>
      </c>
      <c r="G421" s="23" t="s">
        <v>36</v>
      </c>
      <c r="H421" s="23" t="s">
        <v>37</v>
      </c>
      <c r="I421" s="23" t="s">
        <v>38</v>
      </c>
      <c r="J421" s="46">
        <v>10000</v>
      </c>
      <c r="K421" s="4">
        <v>8</v>
      </c>
      <c r="L421" s="5">
        <v>15</v>
      </c>
      <c r="M421" s="46">
        <v>68000</v>
      </c>
      <c r="N421" s="46">
        <v>39708</v>
      </c>
      <c r="O421" s="46">
        <v>28292</v>
      </c>
      <c r="P421" s="6">
        <v>41.61</v>
      </c>
      <c r="Q421" s="33" t="s">
        <v>39</v>
      </c>
      <c r="R421" s="33" t="s">
        <v>45</v>
      </c>
      <c r="S421" s="33" t="s">
        <v>68</v>
      </c>
      <c r="T421" s="33" t="s">
        <v>31</v>
      </c>
      <c r="U421" s="39">
        <v>2</v>
      </c>
      <c r="V421" s="9"/>
    </row>
    <row r="422" spans="1:22" x14ac:dyDescent="0.35">
      <c r="A422" s="17" t="s">
        <v>515</v>
      </c>
      <c r="B422" s="7">
        <v>45560</v>
      </c>
      <c r="C422" s="22" t="s">
        <v>22</v>
      </c>
      <c r="D422" s="22" t="s">
        <v>79</v>
      </c>
      <c r="E422" s="22" t="s">
        <v>72</v>
      </c>
      <c r="F422" s="27">
        <v>2024</v>
      </c>
      <c r="G422" s="22" t="s">
        <v>43</v>
      </c>
      <c r="H422" s="22" t="s">
        <v>104</v>
      </c>
      <c r="I422" s="22" t="s">
        <v>50</v>
      </c>
      <c r="J422" s="45">
        <v>15000</v>
      </c>
      <c r="K422" s="1">
        <v>2</v>
      </c>
      <c r="L422" s="2">
        <v>0</v>
      </c>
      <c r="M422" s="45">
        <v>30000</v>
      </c>
      <c r="N422" s="45">
        <v>21193</v>
      </c>
      <c r="O422" s="45">
        <v>8807</v>
      </c>
      <c r="P422" s="3">
        <v>29.36</v>
      </c>
      <c r="Q422" s="32" t="s">
        <v>51</v>
      </c>
      <c r="R422" s="32" t="s">
        <v>29</v>
      </c>
      <c r="S422" s="32" t="s">
        <v>30</v>
      </c>
      <c r="T422" s="32" t="s">
        <v>41</v>
      </c>
      <c r="U422" s="38">
        <v>3</v>
      </c>
      <c r="V422" s="9"/>
    </row>
    <row r="423" spans="1:22" x14ac:dyDescent="0.35">
      <c r="A423" s="18" t="s">
        <v>516</v>
      </c>
      <c r="B423" s="8">
        <v>45562</v>
      </c>
      <c r="C423" s="23" t="s">
        <v>78</v>
      </c>
      <c r="D423" s="23" t="s">
        <v>79</v>
      </c>
      <c r="E423" s="23" t="s">
        <v>72</v>
      </c>
      <c r="F423" s="28">
        <v>2024</v>
      </c>
      <c r="G423" s="23" t="s">
        <v>25</v>
      </c>
      <c r="H423" s="23" t="s">
        <v>59</v>
      </c>
      <c r="I423" s="23" t="s">
        <v>50</v>
      </c>
      <c r="J423" s="46">
        <v>22000</v>
      </c>
      <c r="K423" s="4">
        <v>10</v>
      </c>
      <c r="L423" s="5">
        <v>20</v>
      </c>
      <c r="M423" s="46">
        <v>176000</v>
      </c>
      <c r="N423" s="46">
        <v>105020</v>
      </c>
      <c r="O423" s="46">
        <v>70980</v>
      </c>
      <c r="P423" s="6">
        <v>40.33</v>
      </c>
      <c r="Q423" s="33" t="s">
        <v>39</v>
      </c>
      <c r="R423" s="33" t="s">
        <v>29</v>
      </c>
      <c r="S423" s="33" t="s">
        <v>57</v>
      </c>
      <c r="T423" s="33" t="s">
        <v>31</v>
      </c>
      <c r="U423" s="39">
        <v>5</v>
      </c>
      <c r="V423" s="9"/>
    </row>
    <row r="424" spans="1:22" x14ac:dyDescent="0.35">
      <c r="A424" s="17" t="s">
        <v>517</v>
      </c>
      <c r="B424" s="7">
        <v>45058</v>
      </c>
      <c r="C424" s="22" t="s">
        <v>78</v>
      </c>
      <c r="D424" s="22" t="s">
        <v>116</v>
      </c>
      <c r="E424" s="22" t="s">
        <v>35</v>
      </c>
      <c r="F424" s="27">
        <v>2023</v>
      </c>
      <c r="G424" s="22" t="s">
        <v>25</v>
      </c>
      <c r="H424" s="22" t="s">
        <v>101</v>
      </c>
      <c r="I424" s="22" t="s">
        <v>27</v>
      </c>
      <c r="J424" s="45">
        <v>9000</v>
      </c>
      <c r="K424" s="1">
        <v>7</v>
      </c>
      <c r="L424" s="2">
        <v>5</v>
      </c>
      <c r="M424" s="45">
        <v>59850</v>
      </c>
      <c r="N424" s="45">
        <v>42478</v>
      </c>
      <c r="O424" s="45">
        <v>17372</v>
      </c>
      <c r="P424" s="3">
        <v>29.03</v>
      </c>
      <c r="Q424" s="32" t="s">
        <v>28</v>
      </c>
      <c r="R424" s="32" t="s">
        <v>29</v>
      </c>
      <c r="S424" s="32" t="s">
        <v>57</v>
      </c>
      <c r="T424" s="32" t="s">
        <v>31</v>
      </c>
      <c r="U424" s="38">
        <v>4</v>
      </c>
      <c r="V424" s="9"/>
    </row>
    <row r="425" spans="1:22" x14ac:dyDescent="0.35">
      <c r="A425" s="18" t="s">
        <v>518</v>
      </c>
      <c r="B425" s="8">
        <v>45050</v>
      </c>
      <c r="C425" s="23" t="s">
        <v>33</v>
      </c>
      <c r="D425" s="23" t="s">
        <v>116</v>
      </c>
      <c r="E425" s="23" t="s">
        <v>35</v>
      </c>
      <c r="F425" s="28">
        <v>2023</v>
      </c>
      <c r="G425" s="23" t="s">
        <v>43</v>
      </c>
      <c r="H425" s="23" t="s">
        <v>126</v>
      </c>
      <c r="I425" s="23" t="s">
        <v>55</v>
      </c>
      <c r="J425" s="46">
        <v>12000</v>
      </c>
      <c r="K425" s="4">
        <v>6</v>
      </c>
      <c r="L425" s="5">
        <v>15</v>
      </c>
      <c r="M425" s="46">
        <v>61200</v>
      </c>
      <c r="N425" s="46">
        <v>33748</v>
      </c>
      <c r="O425" s="46">
        <v>27452</v>
      </c>
      <c r="P425" s="6">
        <v>44.86</v>
      </c>
      <c r="Q425" s="33" t="s">
        <v>39</v>
      </c>
      <c r="R425" s="33" t="s">
        <v>67</v>
      </c>
      <c r="S425" s="33" t="s">
        <v>85</v>
      </c>
      <c r="T425" s="33" t="s">
        <v>41</v>
      </c>
      <c r="U425" s="39">
        <v>3</v>
      </c>
      <c r="V425" s="9"/>
    </row>
    <row r="426" spans="1:22" x14ac:dyDescent="0.35">
      <c r="A426" s="17" t="s">
        <v>519</v>
      </c>
      <c r="B426" s="7">
        <v>45554</v>
      </c>
      <c r="C426" s="22" t="s">
        <v>33</v>
      </c>
      <c r="D426" s="22" t="s">
        <v>79</v>
      </c>
      <c r="E426" s="22" t="s">
        <v>72</v>
      </c>
      <c r="F426" s="27">
        <v>2024</v>
      </c>
      <c r="G426" s="22" t="s">
        <v>61</v>
      </c>
      <c r="H426" s="22" t="s">
        <v>104</v>
      </c>
      <c r="I426" s="22" t="s">
        <v>50</v>
      </c>
      <c r="J426" s="45">
        <v>15000</v>
      </c>
      <c r="K426" s="1">
        <v>9</v>
      </c>
      <c r="L426" s="2">
        <v>0</v>
      </c>
      <c r="M426" s="45">
        <v>135000</v>
      </c>
      <c r="N426" s="45">
        <v>79692</v>
      </c>
      <c r="O426" s="45">
        <v>55308</v>
      </c>
      <c r="P426" s="3">
        <v>40.97</v>
      </c>
      <c r="Q426" s="32" t="s">
        <v>51</v>
      </c>
      <c r="R426" s="32" t="s">
        <v>29</v>
      </c>
      <c r="S426" s="32" t="s">
        <v>57</v>
      </c>
      <c r="T426" s="32" t="s">
        <v>31</v>
      </c>
      <c r="U426" s="38">
        <v>4</v>
      </c>
      <c r="V426" s="9"/>
    </row>
    <row r="427" spans="1:22" x14ac:dyDescent="0.35">
      <c r="A427" s="18" t="s">
        <v>520</v>
      </c>
      <c r="B427" s="8">
        <v>45361</v>
      </c>
      <c r="C427" s="23" t="s">
        <v>70</v>
      </c>
      <c r="D427" s="23" t="s">
        <v>65</v>
      </c>
      <c r="E427" s="23" t="s">
        <v>48</v>
      </c>
      <c r="F427" s="28">
        <v>2024</v>
      </c>
      <c r="G427" s="23" t="s">
        <v>36</v>
      </c>
      <c r="H427" s="23" t="s">
        <v>113</v>
      </c>
      <c r="I427" s="23" t="s">
        <v>38</v>
      </c>
      <c r="J427" s="46">
        <v>3500</v>
      </c>
      <c r="K427" s="4">
        <v>6</v>
      </c>
      <c r="L427" s="5">
        <v>0</v>
      </c>
      <c r="M427" s="46">
        <v>21000</v>
      </c>
      <c r="N427" s="46">
        <v>14600</v>
      </c>
      <c r="O427" s="46">
        <v>6400</v>
      </c>
      <c r="P427" s="6">
        <v>30.48</v>
      </c>
      <c r="Q427" s="33" t="s">
        <v>81</v>
      </c>
      <c r="R427" s="33" t="s">
        <v>67</v>
      </c>
      <c r="S427" s="33" t="s">
        <v>68</v>
      </c>
      <c r="T427" s="33" t="s">
        <v>31</v>
      </c>
      <c r="U427" s="39">
        <v>1</v>
      </c>
      <c r="V427" s="9"/>
    </row>
    <row r="428" spans="1:22" x14ac:dyDescent="0.35">
      <c r="A428" s="17" t="s">
        <v>521</v>
      </c>
      <c r="B428" s="7">
        <v>45203</v>
      </c>
      <c r="C428" s="22" t="s">
        <v>22</v>
      </c>
      <c r="D428" s="22" t="s">
        <v>23</v>
      </c>
      <c r="E428" s="22" t="s">
        <v>24</v>
      </c>
      <c r="F428" s="27">
        <v>2023</v>
      </c>
      <c r="G428" s="22" t="s">
        <v>43</v>
      </c>
      <c r="H428" s="22" t="s">
        <v>66</v>
      </c>
      <c r="I428" s="22" t="s">
        <v>38</v>
      </c>
      <c r="J428" s="45">
        <v>11000</v>
      </c>
      <c r="K428" s="1">
        <v>7</v>
      </c>
      <c r="L428" s="2">
        <v>20</v>
      </c>
      <c r="M428" s="45">
        <v>61600</v>
      </c>
      <c r="N428" s="45">
        <v>37869</v>
      </c>
      <c r="O428" s="45">
        <v>23731</v>
      </c>
      <c r="P428" s="3">
        <v>38.520000000000003</v>
      </c>
      <c r="Q428" s="32" t="s">
        <v>39</v>
      </c>
      <c r="R428" s="32" t="s">
        <v>56</v>
      </c>
      <c r="S428" s="32" t="s">
        <v>40</v>
      </c>
      <c r="T428" s="32" t="s">
        <v>31</v>
      </c>
      <c r="U428" s="38">
        <v>4</v>
      </c>
      <c r="V428" s="9"/>
    </row>
    <row r="429" spans="1:22" x14ac:dyDescent="0.35">
      <c r="A429" s="18" t="s">
        <v>522</v>
      </c>
      <c r="B429" s="8">
        <v>45438</v>
      </c>
      <c r="C429" s="23" t="s">
        <v>70</v>
      </c>
      <c r="D429" s="23" t="s">
        <v>116</v>
      </c>
      <c r="E429" s="23" t="s">
        <v>35</v>
      </c>
      <c r="F429" s="28">
        <v>2024</v>
      </c>
      <c r="G429" s="23" t="s">
        <v>43</v>
      </c>
      <c r="H429" s="23" t="s">
        <v>66</v>
      </c>
      <c r="I429" s="23" t="s">
        <v>38</v>
      </c>
      <c r="J429" s="46">
        <v>11000</v>
      </c>
      <c r="K429" s="4">
        <v>9</v>
      </c>
      <c r="L429" s="5">
        <v>15</v>
      </c>
      <c r="M429" s="46">
        <v>84150</v>
      </c>
      <c r="N429" s="46">
        <v>50799</v>
      </c>
      <c r="O429" s="46">
        <v>33351</v>
      </c>
      <c r="P429" s="6">
        <v>39.630000000000003</v>
      </c>
      <c r="Q429" s="33" t="s">
        <v>51</v>
      </c>
      <c r="R429" s="33" t="s">
        <v>45</v>
      </c>
      <c r="S429" s="33" t="s">
        <v>57</v>
      </c>
      <c r="T429" s="33" t="s">
        <v>41</v>
      </c>
      <c r="U429" s="39">
        <v>1</v>
      </c>
      <c r="V429" s="9"/>
    </row>
    <row r="430" spans="1:22" x14ac:dyDescent="0.35">
      <c r="A430" s="17" t="s">
        <v>523</v>
      </c>
      <c r="B430" s="7">
        <v>45634</v>
      </c>
      <c r="C430" s="22" t="s">
        <v>70</v>
      </c>
      <c r="D430" s="22" t="s">
        <v>97</v>
      </c>
      <c r="E430" s="22" t="s">
        <v>24</v>
      </c>
      <c r="F430" s="27">
        <v>2024</v>
      </c>
      <c r="G430" s="22" t="s">
        <v>61</v>
      </c>
      <c r="H430" s="22" t="s">
        <v>106</v>
      </c>
      <c r="I430" s="22" t="s">
        <v>38</v>
      </c>
      <c r="J430" s="45">
        <v>12000</v>
      </c>
      <c r="K430" s="1">
        <v>4</v>
      </c>
      <c r="L430" s="2">
        <v>20</v>
      </c>
      <c r="M430" s="45">
        <v>38400</v>
      </c>
      <c r="N430" s="45">
        <v>22780</v>
      </c>
      <c r="O430" s="45">
        <v>15620</v>
      </c>
      <c r="P430" s="3">
        <v>40.68</v>
      </c>
      <c r="Q430" s="32" t="s">
        <v>28</v>
      </c>
      <c r="R430" s="32" t="s">
        <v>67</v>
      </c>
      <c r="S430" s="32" t="s">
        <v>57</v>
      </c>
      <c r="T430" s="32" t="s">
        <v>41</v>
      </c>
      <c r="U430" s="38">
        <v>3</v>
      </c>
      <c r="V430" s="9"/>
    </row>
    <row r="431" spans="1:22" x14ac:dyDescent="0.35">
      <c r="A431" s="18" t="s">
        <v>524</v>
      </c>
      <c r="B431" s="8">
        <v>45500</v>
      </c>
      <c r="C431" s="23" t="s">
        <v>53</v>
      </c>
      <c r="D431" s="23" t="s">
        <v>71</v>
      </c>
      <c r="E431" s="23" t="s">
        <v>72</v>
      </c>
      <c r="F431" s="28">
        <v>2024</v>
      </c>
      <c r="G431" s="23" t="s">
        <v>36</v>
      </c>
      <c r="H431" s="23" t="s">
        <v>54</v>
      </c>
      <c r="I431" s="23" t="s">
        <v>55</v>
      </c>
      <c r="J431" s="46">
        <v>18000</v>
      </c>
      <c r="K431" s="4">
        <v>6</v>
      </c>
      <c r="L431" s="5">
        <v>0</v>
      </c>
      <c r="M431" s="46">
        <v>108000</v>
      </c>
      <c r="N431" s="46">
        <v>66960</v>
      </c>
      <c r="O431" s="46">
        <v>41040</v>
      </c>
      <c r="P431" s="6">
        <v>38</v>
      </c>
      <c r="Q431" s="33" t="s">
        <v>81</v>
      </c>
      <c r="R431" s="33" t="s">
        <v>29</v>
      </c>
      <c r="S431" s="33" t="s">
        <v>68</v>
      </c>
      <c r="T431" s="33" t="s">
        <v>41</v>
      </c>
      <c r="U431" s="39">
        <v>3</v>
      </c>
      <c r="V431" s="9"/>
    </row>
    <row r="432" spans="1:22" x14ac:dyDescent="0.35">
      <c r="A432" s="17" t="s">
        <v>525</v>
      </c>
      <c r="B432" s="7">
        <v>45259</v>
      </c>
      <c r="C432" s="22" t="s">
        <v>22</v>
      </c>
      <c r="D432" s="22" t="s">
        <v>110</v>
      </c>
      <c r="E432" s="22" t="s">
        <v>24</v>
      </c>
      <c r="F432" s="27">
        <v>2023</v>
      </c>
      <c r="G432" s="22" t="s">
        <v>36</v>
      </c>
      <c r="H432" s="22" t="s">
        <v>126</v>
      </c>
      <c r="I432" s="22" t="s">
        <v>55</v>
      </c>
      <c r="J432" s="45">
        <v>12000</v>
      </c>
      <c r="K432" s="1">
        <v>8</v>
      </c>
      <c r="L432" s="2">
        <v>0</v>
      </c>
      <c r="M432" s="45">
        <v>96000</v>
      </c>
      <c r="N432" s="45">
        <v>59019</v>
      </c>
      <c r="O432" s="45">
        <v>36981</v>
      </c>
      <c r="P432" s="3">
        <v>38.520000000000003</v>
      </c>
      <c r="Q432" s="32" t="s">
        <v>81</v>
      </c>
      <c r="R432" s="32" t="s">
        <v>67</v>
      </c>
      <c r="S432" s="32" t="s">
        <v>68</v>
      </c>
      <c r="T432" s="32" t="s">
        <v>41</v>
      </c>
      <c r="U432" s="38">
        <v>4</v>
      </c>
      <c r="V432" s="9"/>
    </row>
    <row r="433" spans="1:22" x14ac:dyDescent="0.35">
      <c r="A433" s="18" t="s">
        <v>526</v>
      </c>
      <c r="B433" s="8">
        <v>45573</v>
      </c>
      <c r="C433" s="23" t="s">
        <v>83</v>
      </c>
      <c r="D433" s="23" t="s">
        <v>23</v>
      </c>
      <c r="E433" s="23" t="s">
        <v>24</v>
      </c>
      <c r="F433" s="28">
        <v>2024</v>
      </c>
      <c r="G433" s="23" t="s">
        <v>36</v>
      </c>
      <c r="H433" s="23" t="s">
        <v>88</v>
      </c>
      <c r="I433" s="23" t="s">
        <v>55</v>
      </c>
      <c r="J433" s="46">
        <v>8000</v>
      </c>
      <c r="K433" s="4">
        <v>7</v>
      </c>
      <c r="L433" s="5">
        <v>20</v>
      </c>
      <c r="M433" s="46">
        <v>44800</v>
      </c>
      <c r="N433" s="46">
        <v>31548</v>
      </c>
      <c r="O433" s="46">
        <v>13252</v>
      </c>
      <c r="P433" s="6">
        <v>29.58</v>
      </c>
      <c r="Q433" s="33" t="s">
        <v>28</v>
      </c>
      <c r="R433" s="33" t="s">
        <v>56</v>
      </c>
      <c r="S433" s="33" t="s">
        <v>57</v>
      </c>
      <c r="T433" s="33" t="s">
        <v>41</v>
      </c>
      <c r="U433" s="39">
        <v>3</v>
      </c>
      <c r="V433" s="9"/>
    </row>
    <row r="434" spans="1:22" x14ac:dyDescent="0.35">
      <c r="A434" s="17" t="s">
        <v>527</v>
      </c>
      <c r="B434" s="7">
        <v>45595</v>
      </c>
      <c r="C434" s="22" t="s">
        <v>22</v>
      </c>
      <c r="D434" s="22" t="s">
        <v>23</v>
      </c>
      <c r="E434" s="22" t="s">
        <v>24</v>
      </c>
      <c r="F434" s="27">
        <v>2024</v>
      </c>
      <c r="G434" s="22" t="s">
        <v>25</v>
      </c>
      <c r="H434" s="22" t="s">
        <v>145</v>
      </c>
      <c r="I434" s="22" t="s">
        <v>50</v>
      </c>
      <c r="J434" s="45">
        <v>12000</v>
      </c>
      <c r="K434" s="1">
        <v>10</v>
      </c>
      <c r="L434" s="2">
        <v>15</v>
      </c>
      <c r="M434" s="45">
        <v>102000</v>
      </c>
      <c r="N434" s="45">
        <v>62957</v>
      </c>
      <c r="O434" s="45">
        <v>39043</v>
      </c>
      <c r="P434" s="3">
        <v>38.28</v>
      </c>
      <c r="Q434" s="32" t="s">
        <v>51</v>
      </c>
      <c r="R434" s="32" t="s">
        <v>45</v>
      </c>
      <c r="S434" s="32" t="s">
        <v>85</v>
      </c>
      <c r="T434" s="32" t="s">
        <v>41</v>
      </c>
      <c r="U434" s="38">
        <v>2</v>
      </c>
      <c r="V434" s="9"/>
    </row>
    <row r="435" spans="1:22" x14ac:dyDescent="0.35">
      <c r="A435" s="18" t="s">
        <v>528</v>
      </c>
      <c r="B435" s="8">
        <v>45115</v>
      </c>
      <c r="C435" s="23" t="s">
        <v>53</v>
      </c>
      <c r="D435" s="23" t="s">
        <v>71</v>
      </c>
      <c r="E435" s="23" t="s">
        <v>72</v>
      </c>
      <c r="F435" s="28">
        <v>2023</v>
      </c>
      <c r="G435" s="23" t="s">
        <v>25</v>
      </c>
      <c r="H435" s="23" t="s">
        <v>44</v>
      </c>
      <c r="I435" s="23" t="s">
        <v>27</v>
      </c>
      <c r="J435" s="46">
        <v>6000</v>
      </c>
      <c r="K435" s="4">
        <v>4</v>
      </c>
      <c r="L435" s="5">
        <v>15</v>
      </c>
      <c r="M435" s="46">
        <v>20400</v>
      </c>
      <c r="N435" s="46">
        <v>12093</v>
      </c>
      <c r="O435" s="46">
        <v>8307</v>
      </c>
      <c r="P435" s="6">
        <v>40.72</v>
      </c>
      <c r="Q435" s="33" t="s">
        <v>28</v>
      </c>
      <c r="R435" s="33" t="s">
        <v>56</v>
      </c>
      <c r="S435" s="33" t="s">
        <v>68</v>
      </c>
      <c r="T435" s="33" t="s">
        <v>31</v>
      </c>
      <c r="U435" s="39">
        <v>1</v>
      </c>
      <c r="V435" s="9"/>
    </row>
    <row r="436" spans="1:22" x14ac:dyDescent="0.35">
      <c r="A436" s="17" t="s">
        <v>529</v>
      </c>
      <c r="B436" s="7">
        <v>44992</v>
      </c>
      <c r="C436" s="22" t="s">
        <v>83</v>
      </c>
      <c r="D436" s="22" t="s">
        <v>65</v>
      </c>
      <c r="E436" s="22" t="s">
        <v>48</v>
      </c>
      <c r="F436" s="27">
        <v>2023</v>
      </c>
      <c r="G436" s="22" t="s">
        <v>61</v>
      </c>
      <c r="H436" s="22" t="s">
        <v>119</v>
      </c>
      <c r="I436" s="22" t="s">
        <v>63</v>
      </c>
      <c r="J436" s="45">
        <v>16000</v>
      </c>
      <c r="K436" s="1">
        <v>1</v>
      </c>
      <c r="L436" s="2">
        <v>0</v>
      </c>
      <c r="M436" s="45">
        <v>16000</v>
      </c>
      <c r="N436" s="45">
        <v>10897</v>
      </c>
      <c r="O436" s="45">
        <v>5103</v>
      </c>
      <c r="P436" s="3">
        <v>31.89</v>
      </c>
      <c r="Q436" s="32" t="s">
        <v>75</v>
      </c>
      <c r="R436" s="32" t="s">
        <v>76</v>
      </c>
      <c r="S436" s="32" t="s">
        <v>30</v>
      </c>
      <c r="T436" s="32" t="s">
        <v>31</v>
      </c>
      <c r="U436" s="38">
        <v>1</v>
      </c>
      <c r="V436" s="9"/>
    </row>
    <row r="437" spans="1:22" x14ac:dyDescent="0.35">
      <c r="A437" s="18" t="s">
        <v>530</v>
      </c>
      <c r="B437" s="8">
        <v>45597</v>
      </c>
      <c r="C437" s="23" t="s">
        <v>78</v>
      </c>
      <c r="D437" s="23" t="s">
        <v>110</v>
      </c>
      <c r="E437" s="23" t="s">
        <v>24</v>
      </c>
      <c r="F437" s="28">
        <v>2024</v>
      </c>
      <c r="G437" s="23" t="s">
        <v>36</v>
      </c>
      <c r="H437" s="23" t="s">
        <v>62</v>
      </c>
      <c r="I437" s="23" t="s">
        <v>63</v>
      </c>
      <c r="J437" s="46">
        <v>5000</v>
      </c>
      <c r="K437" s="4">
        <v>4</v>
      </c>
      <c r="L437" s="5">
        <v>0</v>
      </c>
      <c r="M437" s="46">
        <v>20000</v>
      </c>
      <c r="N437" s="46">
        <v>13508</v>
      </c>
      <c r="O437" s="46">
        <v>6492</v>
      </c>
      <c r="P437" s="6">
        <v>32.46</v>
      </c>
      <c r="Q437" s="33" t="s">
        <v>51</v>
      </c>
      <c r="R437" s="33" t="s">
        <v>56</v>
      </c>
      <c r="S437" s="33" t="s">
        <v>68</v>
      </c>
      <c r="T437" s="33" t="s">
        <v>31</v>
      </c>
      <c r="U437" s="39">
        <v>1</v>
      </c>
      <c r="V437" s="9"/>
    </row>
    <row r="438" spans="1:22" x14ac:dyDescent="0.35">
      <c r="A438" s="17" t="s">
        <v>531</v>
      </c>
      <c r="B438" s="7">
        <v>45606</v>
      </c>
      <c r="C438" s="22" t="s">
        <v>70</v>
      </c>
      <c r="D438" s="22" t="s">
        <v>110</v>
      </c>
      <c r="E438" s="22" t="s">
        <v>24</v>
      </c>
      <c r="F438" s="27">
        <v>2024</v>
      </c>
      <c r="G438" s="22" t="s">
        <v>25</v>
      </c>
      <c r="H438" s="22" t="s">
        <v>145</v>
      </c>
      <c r="I438" s="22" t="s">
        <v>50</v>
      </c>
      <c r="J438" s="45">
        <v>12000</v>
      </c>
      <c r="K438" s="1">
        <v>8</v>
      </c>
      <c r="L438" s="2">
        <v>5</v>
      </c>
      <c r="M438" s="45">
        <v>91200</v>
      </c>
      <c r="N438" s="45">
        <v>65276</v>
      </c>
      <c r="O438" s="45">
        <v>25924</v>
      </c>
      <c r="P438" s="3">
        <v>28.43</v>
      </c>
      <c r="Q438" s="32" t="s">
        <v>75</v>
      </c>
      <c r="R438" s="32" t="s">
        <v>45</v>
      </c>
      <c r="S438" s="32" t="s">
        <v>85</v>
      </c>
      <c r="T438" s="32" t="s">
        <v>31</v>
      </c>
      <c r="U438" s="38">
        <v>5</v>
      </c>
      <c r="V438" s="9"/>
    </row>
    <row r="439" spans="1:22" x14ac:dyDescent="0.35">
      <c r="A439" s="18" t="s">
        <v>532</v>
      </c>
      <c r="B439" s="8">
        <v>45108</v>
      </c>
      <c r="C439" s="23" t="s">
        <v>53</v>
      </c>
      <c r="D439" s="23" t="s">
        <v>71</v>
      </c>
      <c r="E439" s="23" t="s">
        <v>72</v>
      </c>
      <c r="F439" s="28">
        <v>2023</v>
      </c>
      <c r="G439" s="23" t="s">
        <v>61</v>
      </c>
      <c r="H439" s="23" t="s">
        <v>88</v>
      </c>
      <c r="I439" s="23" t="s">
        <v>55</v>
      </c>
      <c r="J439" s="46">
        <v>8000</v>
      </c>
      <c r="K439" s="4">
        <v>8</v>
      </c>
      <c r="L439" s="5">
        <v>15</v>
      </c>
      <c r="M439" s="46">
        <v>54400</v>
      </c>
      <c r="N439" s="46">
        <v>36846</v>
      </c>
      <c r="O439" s="46">
        <v>17554</v>
      </c>
      <c r="P439" s="6">
        <v>32.270000000000003</v>
      </c>
      <c r="Q439" s="33" t="s">
        <v>75</v>
      </c>
      <c r="R439" s="33" t="s">
        <v>67</v>
      </c>
      <c r="S439" s="33" t="s">
        <v>85</v>
      </c>
      <c r="T439" s="33" t="s">
        <v>41</v>
      </c>
      <c r="U439" s="39">
        <v>4</v>
      </c>
      <c r="V439" s="9"/>
    </row>
    <row r="440" spans="1:22" x14ac:dyDescent="0.35">
      <c r="A440" s="17" t="s">
        <v>533</v>
      </c>
      <c r="B440" s="7">
        <v>45479</v>
      </c>
      <c r="C440" s="22" t="s">
        <v>53</v>
      </c>
      <c r="D440" s="22" t="s">
        <v>71</v>
      </c>
      <c r="E440" s="22" t="s">
        <v>72</v>
      </c>
      <c r="F440" s="27">
        <v>2024</v>
      </c>
      <c r="G440" s="22" t="s">
        <v>43</v>
      </c>
      <c r="H440" s="22" t="s">
        <v>106</v>
      </c>
      <c r="I440" s="22" t="s">
        <v>38</v>
      </c>
      <c r="J440" s="45">
        <v>12000</v>
      </c>
      <c r="K440" s="1">
        <v>8</v>
      </c>
      <c r="L440" s="2">
        <v>0</v>
      </c>
      <c r="M440" s="45">
        <v>96000</v>
      </c>
      <c r="N440" s="45">
        <v>58770</v>
      </c>
      <c r="O440" s="45">
        <v>37230</v>
      </c>
      <c r="P440" s="3">
        <v>38.78</v>
      </c>
      <c r="Q440" s="32" t="s">
        <v>81</v>
      </c>
      <c r="R440" s="32" t="s">
        <v>56</v>
      </c>
      <c r="S440" s="32" t="s">
        <v>57</v>
      </c>
      <c r="T440" s="32" t="s">
        <v>31</v>
      </c>
      <c r="U440" s="38">
        <v>5</v>
      </c>
      <c r="V440" s="9"/>
    </row>
    <row r="441" spans="1:22" x14ac:dyDescent="0.35">
      <c r="A441" s="18" t="s">
        <v>534</v>
      </c>
      <c r="B441" s="8">
        <v>45066</v>
      </c>
      <c r="C441" s="23" t="s">
        <v>53</v>
      </c>
      <c r="D441" s="23" t="s">
        <v>116</v>
      </c>
      <c r="E441" s="23" t="s">
        <v>35</v>
      </c>
      <c r="F441" s="28">
        <v>2023</v>
      </c>
      <c r="G441" s="23" t="s">
        <v>43</v>
      </c>
      <c r="H441" s="23" t="s">
        <v>145</v>
      </c>
      <c r="I441" s="23" t="s">
        <v>50</v>
      </c>
      <c r="J441" s="46">
        <v>12000</v>
      </c>
      <c r="K441" s="4">
        <v>8</v>
      </c>
      <c r="L441" s="5">
        <v>10</v>
      </c>
      <c r="M441" s="46">
        <v>86400</v>
      </c>
      <c r="N441" s="46">
        <v>47642</v>
      </c>
      <c r="O441" s="46">
        <v>38758</v>
      </c>
      <c r="P441" s="6">
        <v>44.86</v>
      </c>
      <c r="Q441" s="33" t="s">
        <v>51</v>
      </c>
      <c r="R441" s="33" t="s">
        <v>67</v>
      </c>
      <c r="S441" s="33" t="s">
        <v>57</v>
      </c>
      <c r="T441" s="33" t="s">
        <v>41</v>
      </c>
      <c r="U441" s="39">
        <v>3</v>
      </c>
      <c r="V441" s="9"/>
    </row>
    <row r="442" spans="1:22" x14ac:dyDescent="0.35">
      <c r="A442" s="17" t="s">
        <v>535</v>
      </c>
      <c r="B442" s="7">
        <v>45538</v>
      </c>
      <c r="C442" s="22" t="s">
        <v>83</v>
      </c>
      <c r="D442" s="22" t="s">
        <v>79</v>
      </c>
      <c r="E442" s="22" t="s">
        <v>72</v>
      </c>
      <c r="F442" s="27">
        <v>2024</v>
      </c>
      <c r="G442" s="22" t="s">
        <v>36</v>
      </c>
      <c r="H442" s="22" t="s">
        <v>106</v>
      </c>
      <c r="I442" s="22" t="s">
        <v>38</v>
      </c>
      <c r="J442" s="45">
        <v>12000</v>
      </c>
      <c r="K442" s="1">
        <v>9</v>
      </c>
      <c r="L442" s="2">
        <v>0</v>
      </c>
      <c r="M442" s="45">
        <v>108000</v>
      </c>
      <c r="N442" s="45">
        <v>62862</v>
      </c>
      <c r="O442" s="45">
        <v>45138</v>
      </c>
      <c r="P442" s="3">
        <v>41.79</v>
      </c>
      <c r="Q442" s="32" t="s">
        <v>75</v>
      </c>
      <c r="R442" s="32" t="s">
        <v>67</v>
      </c>
      <c r="S442" s="32" t="s">
        <v>40</v>
      </c>
      <c r="T442" s="32" t="s">
        <v>31</v>
      </c>
      <c r="U442" s="38">
        <v>4</v>
      </c>
      <c r="V442" s="9"/>
    </row>
    <row r="443" spans="1:22" x14ac:dyDescent="0.35">
      <c r="A443" s="18" t="s">
        <v>536</v>
      </c>
      <c r="B443" s="8">
        <v>45314</v>
      </c>
      <c r="C443" s="23" t="s">
        <v>83</v>
      </c>
      <c r="D443" s="23" t="s">
        <v>47</v>
      </c>
      <c r="E443" s="23" t="s">
        <v>48</v>
      </c>
      <c r="F443" s="28">
        <v>2024</v>
      </c>
      <c r="G443" s="23" t="s">
        <v>61</v>
      </c>
      <c r="H443" s="23" t="s">
        <v>123</v>
      </c>
      <c r="I443" s="23" t="s">
        <v>38</v>
      </c>
      <c r="J443" s="46">
        <v>14000</v>
      </c>
      <c r="K443" s="4">
        <v>2</v>
      </c>
      <c r="L443" s="5">
        <v>5</v>
      </c>
      <c r="M443" s="46">
        <v>26600</v>
      </c>
      <c r="N443" s="46">
        <v>17458</v>
      </c>
      <c r="O443" s="46">
        <v>9142</v>
      </c>
      <c r="P443" s="6">
        <v>34.369999999999997</v>
      </c>
      <c r="Q443" s="33" t="s">
        <v>75</v>
      </c>
      <c r="R443" s="33" t="s">
        <v>29</v>
      </c>
      <c r="S443" s="33" t="s">
        <v>57</v>
      </c>
      <c r="T443" s="33" t="s">
        <v>41</v>
      </c>
      <c r="U443" s="39">
        <v>4</v>
      </c>
      <c r="V443" s="9"/>
    </row>
    <row r="444" spans="1:22" x14ac:dyDescent="0.35">
      <c r="A444" s="17" t="s">
        <v>537</v>
      </c>
      <c r="B444" s="7">
        <v>45119</v>
      </c>
      <c r="C444" s="22" t="s">
        <v>22</v>
      </c>
      <c r="D444" s="22" t="s">
        <v>71</v>
      </c>
      <c r="E444" s="22" t="s">
        <v>72</v>
      </c>
      <c r="F444" s="27">
        <v>2023</v>
      </c>
      <c r="G444" s="22" t="s">
        <v>61</v>
      </c>
      <c r="H444" s="22" t="s">
        <v>44</v>
      </c>
      <c r="I444" s="22" t="s">
        <v>27</v>
      </c>
      <c r="J444" s="45">
        <v>6000</v>
      </c>
      <c r="K444" s="1">
        <v>3</v>
      </c>
      <c r="L444" s="2">
        <v>0</v>
      </c>
      <c r="M444" s="45">
        <v>18000</v>
      </c>
      <c r="N444" s="45">
        <v>10238</v>
      </c>
      <c r="O444" s="45">
        <v>7762</v>
      </c>
      <c r="P444" s="3">
        <v>43.12</v>
      </c>
      <c r="Q444" s="32" t="s">
        <v>51</v>
      </c>
      <c r="R444" s="32" t="s">
        <v>29</v>
      </c>
      <c r="S444" s="32" t="s">
        <v>40</v>
      </c>
      <c r="T444" s="32" t="s">
        <v>41</v>
      </c>
      <c r="U444" s="38">
        <v>2</v>
      </c>
      <c r="V444" s="9"/>
    </row>
    <row r="445" spans="1:22" x14ac:dyDescent="0.35">
      <c r="A445" s="18" t="s">
        <v>538</v>
      </c>
      <c r="B445" s="8">
        <v>45255</v>
      </c>
      <c r="C445" s="23" t="s">
        <v>53</v>
      </c>
      <c r="D445" s="23" t="s">
        <v>110</v>
      </c>
      <c r="E445" s="23" t="s">
        <v>24</v>
      </c>
      <c r="F445" s="28">
        <v>2023</v>
      </c>
      <c r="G445" s="23" t="s">
        <v>36</v>
      </c>
      <c r="H445" s="23" t="s">
        <v>44</v>
      </c>
      <c r="I445" s="23" t="s">
        <v>27</v>
      </c>
      <c r="J445" s="46">
        <v>6000</v>
      </c>
      <c r="K445" s="4">
        <v>1</v>
      </c>
      <c r="L445" s="5">
        <v>10</v>
      </c>
      <c r="M445" s="46">
        <v>5400</v>
      </c>
      <c r="N445" s="46">
        <v>2990</v>
      </c>
      <c r="O445" s="46">
        <v>2410</v>
      </c>
      <c r="P445" s="6">
        <v>44.63</v>
      </c>
      <c r="Q445" s="33" t="s">
        <v>28</v>
      </c>
      <c r="R445" s="33" t="s">
        <v>45</v>
      </c>
      <c r="S445" s="33" t="s">
        <v>57</v>
      </c>
      <c r="T445" s="33" t="s">
        <v>41</v>
      </c>
      <c r="U445" s="39">
        <v>1</v>
      </c>
      <c r="V445" s="9"/>
    </row>
    <row r="446" spans="1:22" x14ac:dyDescent="0.35">
      <c r="A446" s="17" t="s">
        <v>539</v>
      </c>
      <c r="B446" s="7">
        <v>45165</v>
      </c>
      <c r="C446" s="22" t="s">
        <v>70</v>
      </c>
      <c r="D446" s="22" t="s">
        <v>108</v>
      </c>
      <c r="E446" s="22" t="s">
        <v>72</v>
      </c>
      <c r="F446" s="27">
        <v>2023</v>
      </c>
      <c r="G446" s="22" t="s">
        <v>61</v>
      </c>
      <c r="H446" s="22" t="s">
        <v>44</v>
      </c>
      <c r="I446" s="22" t="s">
        <v>27</v>
      </c>
      <c r="J446" s="45">
        <v>6000</v>
      </c>
      <c r="K446" s="1">
        <v>1</v>
      </c>
      <c r="L446" s="2">
        <v>5</v>
      </c>
      <c r="M446" s="45">
        <v>5700</v>
      </c>
      <c r="N446" s="45">
        <v>3345</v>
      </c>
      <c r="O446" s="45">
        <v>2355</v>
      </c>
      <c r="P446" s="3">
        <v>41.32</v>
      </c>
      <c r="Q446" s="32" t="s">
        <v>51</v>
      </c>
      <c r="R446" s="32" t="s">
        <v>45</v>
      </c>
      <c r="S446" s="32" t="s">
        <v>40</v>
      </c>
      <c r="T446" s="32" t="s">
        <v>41</v>
      </c>
      <c r="U446" s="38">
        <v>1</v>
      </c>
      <c r="V446" s="9"/>
    </row>
    <row r="447" spans="1:22" x14ac:dyDescent="0.35">
      <c r="A447" s="18" t="s">
        <v>540</v>
      </c>
      <c r="B447" s="8">
        <v>45265</v>
      </c>
      <c r="C447" s="23" t="s">
        <v>83</v>
      </c>
      <c r="D447" s="23" t="s">
        <v>97</v>
      </c>
      <c r="E447" s="23" t="s">
        <v>24</v>
      </c>
      <c r="F447" s="28">
        <v>2023</v>
      </c>
      <c r="G447" s="23" t="s">
        <v>36</v>
      </c>
      <c r="H447" s="23" t="s">
        <v>44</v>
      </c>
      <c r="I447" s="23" t="s">
        <v>27</v>
      </c>
      <c r="J447" s="46">
        <v>6000</v>
      </c>
      <c r="K447" s="4">
        <v>1</v>
      </c>
      <c r="L447" s="5">
        <v>0</v>
      </c>
      <c r="M447" s="46">
        <v>6000</v>
      </c>
      <c r="N447" s="46">
        <v>4091</v>
      </c>
      <c r="O447" s="46">
        <v>1909</v>
      </c>
      <c r="P447" s="6">
        <v>31.82</v>
      </c>
      <c r="Q447" s="33" t="s">
        <v>28</v>
      </c>
      <c r="R447" s="33" t="s">
        <v>29</v>
      </c>
      <c r="S447" s="33" t="s">
        <v>40</v>
      </c>
      <c r="T447" s="33" t="s">
        <v>31</v>
      </c>
      <c r="U447" s="39">
        <v>3</v>
      </c>
      <c r="V447" s="9"/>
    </row>
    <row r="448" spans="1:22" x14ac:dyDescent="0.35">
      <c r="A448" s="17" t="s">
        <v>541</v>
      </c>
      <c r="B448" s="7">
        <v>45317</v>
      </c>
      <c r="C448" s="22" t="s">
        <v>78</v>
      </c>
      <c r="D448" s="22" t="s">
        <v>47</v>
      </c>
      <c r="E448" s="22" t="s">
        <v>48</v>
      </c>
      <c r="F448" s="27">
        <v>2024</v>
      </c>
      <c r="G448" s="22" t="s">
        <v>36</v>
      </c>
      <c r="H448" s="22" t="s">
        <v>26</v>
      </c>
      <c r="I448" s="22" t="s">
        <v>27</v>
      </c>
      <c r="J448" s="45">
        <v>5000</v>
      </c>
      <c r="K448" s="1">
        <v>4</v>
      </c>
      <c r="L448" s="2">
        <v>5</v>
      </c>
      <c r="M448" s="45">
        <v>19000</v>
      </c>
      <c r="N448" s="45">
        <v>12941</v>
      </c>
      <c r="O448" s="45">
        <v>6059</v>
      </c>
      <c r="P448" s="3">
        <v>31.89</v>
      </c>
      <c r="Q448" s="32" t="s">
        <v>51</v>
      </c>
      <c r="R448" s="32" t="s">
        <v>56</v>
      </c>
      <c r="S448" s="32" t="s">
        <v>30</v>
      </c>
      <c r="T448" s="32" t="s">
        <v>41</v>
      </c>
      <c r="U448" s="38">
        <v>1</v>
      </c>
      <c r="V448" s="9"/>
    </row>
    <row r="449" spans="1:22" x14ac:dyDescent="0.35">
      <c r="A449" s="18" t="s">
        <v>542</v>
      </c>
      <c r="B449" s="8">
        <v>45460</v>
      </c>
      <c r="C449" s="23" t="s">
        <v>90</v>
      </c>
      <c r="D449" s="23" t="s">
        <v>87</v>
      </c>
      <c r="E449" s="23" t="s">
        <v>35</v>
      </c>
      <c r="F449" s="28">
        <v>2024</v>
      </c>
      <c r="G449" s="23" t="s">
        <v>43</v>
      </c>
      <c r="H449" s="23" t="s">
        <v>113</v>
      </c>
      <c r="I449" s="23" t="s">
        <v>38</v>
      </c>
      <c r="J449" s="46">
        <v>3500</v>
      </c>
      <c r="K449" s="4">
        <v>7</v>
      </c>
      <c r="L449" s="5">
        <v>15</v>
      </c>
      <c r="M449" s="46">
        <v>20825</v>
      </c>
      <c r="N449" s="46">
        <v>14857</v>
      </c>
      <c r="O449" s="46">
        <v>5968</v>
      </c>
      <c r="P449" s="6">
        <v>28.66</v>
      </c>
      <c r="Q449" s="33" t="s">
        <v>81</v>
      </c>
      <c r="R449" s="33" t="s">
        <v>56</v>
      </c>
      <c r="S449" s="33" t="s">
        <v>30</v>
      </c>
      <c r="T449" s="33" t="s">
        <v>41</v>
      </c>
      <c r="U449" s="39">
        <v>4</v>
      </c>
      <c r="V449" s="9"/>
    </row>
    <row r="450" spans="1:22" x14ac:dyDescent="0.35">
      <c r="A450" s="17" t="s">
        <v>543</v>
      </c>
      <c r="B450" s="7">
        <v>45580</v>
      </c>
      <c r="C450" s="22" t="s">
        <v>83</v>
      </c>
      <c r="D450" s="22" t="s">
        <v>23</v>
      </c>
      <c r="E450" s="22" t="s">
        <v>24</v>
      </c>
      <c r="F450" s="27">
        <v>2024</v>
      </c>
      <c r="G450" s="22" t="s">
        <v>25</v>
      </c>
      <c r="H450" s="22" t="s">
        <v>104</v>
      </c>
      <c r="I450" s="22" t="s">
        <v>50</v>
      </c>
      <c r="J450" s="45">
        <v>15000</v>
      </c>
      <c r="K450" s="1">
        <v>6</v>
      </c>
      <c r="L450" s="2">
        <v>0</v>
      </c>
      <c r="M450" s="45">
        <v>90000</v>
      </c>
      <c r="N450" s="45">
        <v>62714</v>
      </c>
      <c r="O450" s="45">
        <v>27286</v>
      </c>
      <c r="P450" s="3">
        <v>30.32</v>
      </c>
      <c r="Q450" s="32" t="s">
        <v>39</v>
      </c>
      <c r="R450" s="32" t="s">
        <v>76</v>
      </c>
      <c r="S450" s="32" t="s">
        <v>68</v>
      </c>
      <c r="T450" s="32" t="s">
        <v>41</v>
      </c>
      <c r="U450" s="38">
        <v>1</v>
      </c>
      <c r="V450" s="9"/>
    </row>
    <row r="451" spans="1:22" x14ac:dyDescent="0.35">
      <c r="A451" s="18" t="s">
        <v>544</v>
      </c>
      <c r="B451" s="8">
        <v>45098</v>
      </c>
      <c r="C451" s="23" t="s">
        <v>22</v>
      </c>
      <c r="D451" s="23" t="s">
        <v>87</v>
      </c>
      <c r="E451" s="23" t="s">
        <v>35</v>
      </c>
      <c r="F451" s="28">
        <v>2023</v>
      </c>
      <c r="G451" s="23" t="s">
        <v>25</v>
      </c>
      <c r="H451" s="23" t="s">
        <v>49</v>
      </c>
      <c r="I451" s="23" t="s">
        <v>50</v>
      </c>
      <c r="J451" s="46">
        <v>18000</v>
      </c>
      <c r="K451" s="4">
        <v>2</v>
      </c>
      <c r="L451" s="5">
        <v>5</v>
      </c>
      <c r="M451" s="46">
        <v>34200</v>
      </c>
      <c r="N451" s="46">
        <v>23398</v>
      </c>
      <c r="O451" s="46">
        <v>10802</v>
      </c>
      <c r="P451" s="6">
        <v>31.58</v>
      </c>
      <c r="Q451" s="33" t="s">
        <v>28</v>
      </c>
      <c r="R451" s="33" t="s">
        <v>76</v>
      </c>
      <c r="S451" s="33" t="s">
        <v>85</v>
      </c>
      <c r="T451" s="33" t="s">
        <v>31</v>
      </c>
      <c r="U451" s="39">
        <v>3</v>
      </c>
      <c r="V451" s="9"/>
    </row>
    <row r="452" spans="1:22" x14ac:dyDescent="0.35">
      <c r="A452" s="17" t="s">
        <v>545</v>
      </c>
      <c r="B452" s="7">
        <v>45018</v>
      </c>
      <c r="C452" s="22" t="s">
        <v>70</v>
      </c>
      <c r="D452" s="22" t="s">
        <v>34</v>
      </c>
      <c r="E452" s="22" t="s">
        <v>35</v>
      </c>
      <c r="F452" s="27">
        <v>2023</v>
      </c>
      <c r="G452" s="22" t="s">
        <v>61</v>
      </c>
      <c r="H452" s="22" t="s">
        <v>37</v>
      </c>
      <c r="I452" s="22" t="s">
        <v>38</v>
      </c>
      <c r="J452" s="45">
        <v>10000</v>
      </c>
      <c r="K452" s="1">
        <v>8</v>
      </c>
      <c r="L452" s="2">
        <v>0</v>
      </c>
      <c r="M452" s="45">
        <v>80000</v>
      </c>
      <c r="N452" s="45">
        <v>53329</v>
      </c>
      <c r="O452" s="45">
        <v>26671</v>
      </c>
      <c r="P452" s="3">
        <v>33.340000000000003</v>
      </c>
      <c r="Q452" s="32" t="s">
        <v>81</v>
      </c>
      <c r="R452" s="32" t="s">
        <v>76</v>
      </c>
      <c r="S452" s="32" t="s">
        <v>30</v>
      </c>
      <c r="T452" s="32" t="s">
        <v>31</v>
      </c>
      <c r="U452" s="38">
        <v>5</v>
      </c>
      <c r="V452" s="9"/>
    </row>
    <row r="453" spans="1:22" x14ac:dyDescent="0.35">
      <c r="A453" s="18" t="s">
        <v>546</v>
      </c>
      <c r="B453" s="8">
        <v>45036</v>
      </c>
      <c r="C453" s="23" t="s">
        <v>33</v>
      </c>
      <c r="D453" s="23" t="s">
        <v>34</v>
      </c>
      <c r="E453" s="23" t="s">
        <v>35</v>
      </c>
      <c r="F453" s="28">
        <v>2023</v>
      </c>
      <c r="G453" s="23" t="s">
        <v>43</v>
      </c>
      <c r="H453" s="23" t="s">
        <v>113</v>
      </c>
      <c r="I453" s="23" t="s">
        <v>38</v>
      </c>
      <c r="J453" s="46">
        <v>3500</v>
      </c>
      <c r="K453" s="4">
        <v>4</v>
      </c>
      <c r="L453" s="5">
        <v>0</v>
      </c>
      <c r="M453" s="46">
        <v>14000</v>
      </c>
      <c r="N453" s="46">
        <v>10036</v>
      </c>
      <c r="O453" s="46">
        <v>3964</v>
      </c>
      <c r="P453" s="6">
        <v>28.31</v>
      </c>
      <c r="Q453" s="33" t="s">
        <v>81</v>
      </c>
      <c r="R453" s="33" t="s">
        <v>67</v>
      </c>
      <c r="S453" s="33" t="s">
        <v>68</v>
      </c>
      <c r="T453" s="33" t="s">
        <v>41</v>
      </c>
      <c r="U453" s="39">
        <v>3</v>
      </c>
      <c r="V453" s="9"/>
    </row>
    <row r="454" spans="1:22" x14ac:dyDescent="0.35">
      <c r="A454" s="17" t="s">
        <v>547</v>
      </c>
      <c r="B454" s="7">
        <v>45064</v>
      </c>
      <c r="C454" s="22" t="s">
        <v>33</v>
      </c>
      <c r="D454" s="22" t="s">
        <v>116</v>
      </c>
      <c r="E454" s="22" t="s">
        <v>35</v>
      </c>
      <c r="F454" s="27">
        <v>2023</v>
      </c>
      <c r="G454" s="22" t="s">
        <v>36</v>
      </c>
      <c r="H454" s="22" t="s">
        <v>117</v>
      </c>
      <c r="I454" s="22" t="s">
        <v>50</v>
      </c>
      <c r="J454" s="45">
        <v>8000</v>
      </c>
      <c r="K454" s="1">
        <v>8</v>
      </c>
      <c r="L454" s="2">
        <v>15</v>
      </c>
      <c r="M454" s="45">
        <v>54400</v>
      </c>
      <c r="N454" s="45">
        <v>33966</v>
      </c>
      <c r="O454" s="45">
        <v>20434</v>
      </c>
      <c r="P454" s="3">
        <v>37.56</v>
      </c>
      <c r="Q454" s="32" t="s">
        <v>81</v>
      </c>
      <c r="R454" s="32" t="s">
        <v>29</v>
      </c>
      <c r="S454" s="32" t="s">
        <v>40</v>
      </c>
      <c r="T454" s="32" t="s">
        <v>31</v>
      </c>
      <c r="U454" s="38">
        <v>5</v>
      </c>
      <c r="V454" s="9"/>
    </row>
    <row r="455" spans="1:22" x14ac:dyDescent="0.35">
      <c r="A455" s="18" t="s">
        <v>548</v>
      </c>
      <c r="B455" s="8">
        <v>45283</v>
      </c>
      <c r="C455" s="23" t="s">
        <v>53</v>
      </c>
      <c r="D455" s="23" t="s">
        <v>97</v>
      </c>
      <c r="E455" s="23" t="s">
        <v>24</v>
      </c>
      <c r="F455" s="28">
        <v>2023</v>
      </c>
      <c r="G455" s="23" t="s">
        <v>36</v>
      </c>
      <c r="H455" s="23" t="s">
        <v>59</v>
      </c>
      <c r="I455" s="23" t="s">
        <v>50</v>
      </c>
      <c r="J455" s="46">
        <v>22000</v>
      </c>
      <c r="K455" s="4">
        <v>5</v>
      </c>
      <c r="L455" s="5">
        <v>20</v>
      </c>
      <c r="M455" s="46">
        <v>88000</v>
      </c>
      <c r="N455" s="46">
        <v>60837</v>
      </c>
      <c r="O455" s="46">
        <v>27163</v>
      </c>
      <c r="P455" s="6">
        <v>30.87</v>
      </c>
      <c r="Q455" s="33" t="s">
        <v>75</v>
      </c>
      <c r="R455" s="33" t="s">
        <v>56</v>
      </c>
      <c r="S455" s="33" t="s">
        <v>30</v>
      </c>
      <c r="T455" s="33" t="s">
        <v>41</v>
      </c>
      <c r="U455" s="39">
        <v>3</v>
      </c>
      <c r="V455" s="9"/>
    </row>
    <row r="456" spans="1:22" x14ac:dyDescent="0.35">
      <c r="A456" s="17" t="s">
        <v>549</v>
      </c>
      <c r="B456" s="7">
        <v>45196</v>
      </c>
      <c r="C456" s="22" t="s">
        <v>22</v>
      </c>
      <c r="D456" s="22" t="s">
        <v>79</v>
      </c>
      <c r="E456" s="22" t="s">
        <v>72</v>
      </c>
      <c r="F456" s="27">
        <v>2023</v>
      </c>
      <c r="G456" s="22" t="s">
        <v>43</v>
      </c>
      <c r="H456" s="22" t="s">
        <v>54</v>
      </c>
      <c r="I456" s="22" t="s">
        <v>55</v>
      </c>
      <c r="J456" s="45">
        <v>18000</v>
      </c>
      <c r="K456" s="1">
        <v>8</v>
      </c>
      <c r="L456" s="2">
        <v>0</v>
      </c>
      <c r="M456" s="45">
        <v>144000</v>
      </c>
      <c r="N456" s="45">
        <v>98194</v>
      </c>
      <c r="O456" s="45">
        <v>45806</v>
      </c>
      <c r="P456" s="3">
        <v>31.81</v>
      </c>
      <c r="Q456" s="32" t="s">
        <v>75</v>
      </c>
      <c r="R456" s="32" t="s">
        <v>67</v>
      </c>
      <c r="S456" s="32" t="s">
        <v>68</v>
      </c>
      <c r="T456" s="32" t="s">
        <v>41</v>
      </c>
      <c r="U456" s="38">
        <v>5</v>
      </c>
      <c r="V456" s="9"/>
    </row>
    <row r="457" spans="1:22" x14ac:dyDescent="0.35">
      <c r="A457" s="18" t="s">
        <v>550</v>
      </c>
      <c r="B457" s="8">
        <v>45171</v>
      </c>
      <c r="C457" s="23" t="s">
        <v>53</v>
      </c>
      <c r="D457" s="23" t="s">
        <v>79</v>
      </c>
      <c r="E457" s="23" t="s">
        <v>72</v>
      </c>
      <c r="F457" s="28">
        <v>2023</v>
      </c>
      <c r="G457" s="23" t="s">
        <v>36</v>
      </c>
      <c r="H457" s="23" t="s">
        <v>117</v>
      </c>
      <c r="I457" s="23" t="s">
        <v>50</v>
      </c>
      <c r="J457" s="46">
        <v>8000</v>
      </c>
      <c r="K457" s="4">
        <v>9</v>
      </c>
      <c r="L457" s="5">
        <v>20</v>
      </c>
      <c r="M457" s="46">
        <v>57600</v>
      </c>
      <c r="N457" s="46">
        <v>35474</v>
      </c>
      <c r="O457" s="46">
        <v>22126</v>
      </c>
      <c r="P457" s="6">
        <v>38.409999999999997</v>
      </c>
      <c r="Q457" s="33" t="s">
        <v>75</v>
      </c>
      <c r="R457" s="33" t="s">
        <v>67</v>
      </c>
      <c r="S457" s="33" t="s">
        <v>85</v>
      </c>
      <c r="T457" s="33" t="s">
        <v>41</v>
      </c>
      <c r="U457" s="39">
        <v>3</v>
      </c>
      <c r="V457" s="9"/>
    </row>
    <row r="458" spans="1:22" x14ac:dyDescent="0.35">
      <c r="A458" s="17" t="s">
        <v>551</v>
      </c>
      <c r="B458" s="7">
        <v>45346</v>
      </c>
      <c r="C458" s="22" t="s">
        <v>53</v>
      </c>
      <c r="D458" s="22" t="s">
        <v>74</v>
      </c>
      <c r="E458" s="22" t="s">
        <v>48</v>
      </c>
      <c r="F458" s="27">
        <v>2024</v>
      </c>
      <c r="G458" s="22" t="s">
        <v>43</v>
      </c>
      <c r="H458" s="22" t="s">
        <v>117</v>
      </c>
      <c r="I458" s="22" t="s">
        <v>50</v>
      </c>
      <c r="J458" s="45">
        <v>8000</v>
      </c>
      <c r="K458" s="1">
        <v>2</v>
      </c>
      <c r="L458" s="2">
        <v>10</v>
      </c>
      <c r="M458" s="45">
        <v>14400</v>
      </c>
      <c r="N458" s="45">
        <v>9533</v>
      </c>
      <c r="O458" s="45">
        <v>4867</v>
      </c>
      <c r="P458" s="3">
        <v>33.799999999999997</v>
      </c>
      <c r="Q458" s="32" t="s">
        <v>28</v>
      </c>
      <c r="R458" s="32" t="s">
        <v>56</v>
      </c>
      <c r="S458" s="32" t="s">
        <v>68</v>
      </c>
      <c r="T458" s="32" t="s">
        <v>31</v>
      </c>
      <c r="U458" s="38">
        <v>1</v>
      </c>
      <c r="V458" s="9"/>
    </row>
    <row r="459" spans="1:22" x14ac:dyDescent="0.35">
      <c r="A459" s="18" t="s">
        <v>552</v>
      </c>
      <c r="B459" s="8">
        <v>45424</v>
      </c>
      <c r="C459" s="23" t="s">
        <v>70</v>
      </c>
      <c r="D459" s="23" t="s">
        <v>116</v>
      </c>
      <c r="E459" s="23" t="s">
        <v>35</v>
      </c>
      <c r="F459" s="28">
        <v>2024</v>
      </c>
      <c r="G459" s="23" t="s">
        <v>61</v>
      </c>
      <c r="H459" s="23" t="s">
        <v>106</v>
      </c>
      <c r="I459" s="23" t="s">
        <v>38</v>
      </c>
      <c r="J459" s="46">
        <v>12000</v>
      </c>
      <c r="K459" s="4">
        <v>1</v>
      </c>
      <c r="L459" s="5">
        <v>10</v>
      </c>
      <c r="M459" s="46">
        <v>10800</v>
      </c>
      <c r="N459" s="46">
        <v>7118</v>
      </c>
      <c r="O459" s="46">
        <v>3682</v>
      </c>
      <c r="P459" s="6">
        <v>34.090000000000003</v>
      </c>
      <c r="Q459" s="33" t="s">
        <v>51</v>
      </c>
      <c r="R459" s="33" t="s">
        <v>67</v>
      </c>
      <c r="S459" s="33" t="s">
        <v>85</v>
      </c>
      <c r="T459" s="33" t="s">
        <v>31</v>
      </c>
      <c r="U459" s="39">
        <v>3</v>
      </c>
      <c r="V459" s="9"/>
    </row>
    <row r="460" spans="1:22" x14ac:dyDescent="0.35">
      <c r="A460" s="17" t="s">
        <v>553</v>
      </c>
      <c r="B460" s="7">
        <v>45153</v>
      </c>
      <c r="C460" s="22" t="s">
        <v>83</v>
      </c>
      <c r="D460" s="22" t="s">
        <v>108</v>
      </c>
      <c r="E460" s="22" t="s">
        <v>72</v>
      </c>
      <c r="F460" s="27">
        <v>2023</v>
      </c>
      <c r="G460" s="22" t="s">
        <v>61</v>
      </c>
      <c r="H460" s="22" t="s">
        <v>80</v>
      </c>
      <c r="I460" s="22" t="s">
        <v>55</v>
      </c>
      <c r="J460" s="45">
        <v>25000</v>
      </c>
      <c r="K460" s="1">
        <v>1</v>
      </c>
      <c r="L460" s="2">
        <v>0</v>
      </c>
      <c r="M460" s="45">
        <v>25000</v>
      </c>
      <c r="N460" s="45">
        <v>16537</v>
      </c>
      <c r="O460" s="45">
        <v>8463</v>
      </c>
      <c r="P460" s="3">
        <v>33.85</v>
      </c>
      <c r="Q460" s="32" t="s">
        <v>28</v>
      </c>
      <c r="R460" s="32" t="s">
        <v>67</v>
      </c>
      <c r="S460" s="32" t="s">
        <v>30</v>
      </c>
      <c r="T460" s="32" t="s">
        <v>41</v>
      </c>
      <c r="U460" s="38">
        <v>3</v>
      </c>
      <c r="V460" s="9"/>
    </row>
    <row r="461" spans="1:22" x14ac:dyDescent="0.35">
      <c r="A461" s="18" t="s">
        <v>554</v>
      </c>
      <c r="B461" s="8">
        <v>45652</v>
      </c>
      <c r="C461" s="23" t="s">
        <v>33</v>
      </c>
      <c r="D461" s="23" t="s">
        <v>97</v>
      </c>
      <c r="E461" s="23" t="s">
        <v>24</v>
      </c>
      <c r="F461" s="28">
        <v>2024</v>
      </c>
      <c r="G461" s="23" t="s">
        <v>36</v>
      </c>
      <c r="H461" s="23" t="s">
        <v>101</v>
      </c>
      <c r="I461" s="23" t="s">
        <v>27</v>
      </c>
      <c r="J461" s="46">
        <v>9000</v>
      </c>
      <c r="K461" s="4">
        <v>5</v>
      </c>
      <c r="L461" s="5">
        <v>10</v>
      </c>
      <c r="M461" s="46">
        <v>40500</v>
      </c>
      <c r="N461" s="46">
        <v>22555</v>
      </c>
      <c r="O461" s="46">
        <v>17945</v>
      </c>
      <c r="P461" s="6">
        <v>44.31</v>
      </c>
      <c r="Q461" s="33" t="s">
        <v>28</v>
      </c>
      <c r="R461" s="33" t="s">
        <v>45</v>
      </c>
      <c r="S461" s="33" t="s">
        <v>30</v>
      </c>
      <c r="T461" s="33" t="s">
        <v>31</v>
      </c>
      <c r="U461" s="39">
        <v>1</v>
      </c>
      <c r="V461" s="9"/>
    </row>
    <row r="462" spans="1:22" x14ac:dyDescent="0.35">
      <c r="A462" s="17" t="s">
        <v>555</v>
      </c>
      <c r="B462" s="7">
        <v>45163</v>
      </c>
      <c r="C462" s="22" t="s">
        <v>78</v>
      </c>
      <c r="D462" s="22" t="s">
        <v>108</v>
      </c>
      <c r="E462" s="22" t="s">
        <v>72</v>
      </c>
      <c r="F462" s="27">
        <v>2023</v>
      </c>
      <c r="G462" s="22" t="s">
        <v>25</v>
      </c>
      <c r="H462" s="22" t="s">
        <v>126</v>
      </c>
      <c r="I462" s="22" t="s">
        <v>55</v>
      </c>
      <c r="J462" s="45">
        <v>12000</v>
      </c>
      <c r="K462" s="1">
        <v>4</v>
      </c>
      <c r="L462" s="2">
        <v>0</v>
      </c>
      <c r="M462" s="45">
        <v>48000</v>
      </c>
      <c r="N462" s="45">
        <v>30694</v>
      </c>
      <c r="O462" s="45">
        <v>17306</v>
      </c>
      <c r="P462" s="3">
        <v>36.049999999999997</v>
      </c>
      <c r="Q462" s="32" t="s">
        <v>39</v>
      </c>
      <c r="R462" s="32" t="s">
        <v>29</v>
      </c>
      <c r="S462" s="32" t="s">
        <v>68</v>
      </c>
      <c r="T462" s="32" t="s">
        <v>31</v>
      </c>
      <c r="U462" s="38">
        <v>5</v>
      </c>
      <c r="V462" s="9"/>
    </row>
    <row r="463" spans="1:22" x14ac:dyDescent="0.35">
      <c r="A463" s="18" t="s">
        <v>556</v>
      </c>
      <c r="B463" s="8">
        <v>45293</v>
      </c>
      <c r="C463" s="23" t="s">
        <v>83</v>
      </c>
      <c r="D463" s="23" t="s">
        <v>47</v>
      </c>
      <c r="E463" s="23" t="s">
        <v>48</v>
      </c>
      <c r="F463" s="28">
        <v>2024</v>
      </c>
      <c r="G463" s="23" t="s">
        <v>61</v>
      </c>
      <c r="H463" s="23" t="s">
        <v>98</v>
      </c>
      <c r="I463" s="23" t="s">
        <v>63</v>
      </c>
      <c r="J463" s="46">
        <v>28000</v>
      </c>
      <c r="K463" s="4">
        <v>2</v>
      </c>
      <c r="L463" s="5">
        <v>0</v>
      </c>
      <c r="M463" s="46">
        <v>56000</v>
      </c>
      <c r="N463" s="46">
        <v>38344</v>
      </c>
      <c r="O463" s="46">
        <v>17656</v>
      </c>
      <c r="P463" s="6">
        <v>31.53</v>
      </c>
      <c r="Q463" s="33" t="s">
        <v>75</v>
      </c>
      <c r="R463" s="33" t="s">
        <v>67</v>
      </c>
      <c r="S463" s="33" t="s">
        <v>85</v>
      </c>
      <c r="T463" s="33" t="s">
        <v>31</v>
      </c>
      <c r="U463" s="39">
        <v>5</v>
      </c>
      <c r="V463" s="9"/>
    </row>
    <row r="464" spans="1:22" x14ac:dyDescent="0.35">
      <c r="A464" s="17" t="s">
        <v>557</v>
      </c>
      <c r="B464" s="7">
        <v>45541</v>
      </c>
      <c r="C464" s="22" t="s">
        <v>78</v>
      </c>
      <c r="D464" s="22" t="s">
        <v>79</v>
      </c>
      <c r="E464" s="22" t="s">
        <v>72</v>
      </c>
      <c r="F464" s="27">
        <v>2024</v>
      </c>
      <c r="G464" s="22" t="s">
        <v>25</v>
      </c>
      <c r="H464" s="22" t="s">
        <v>62</v>
      </c>
      <c r="I464" s="22" t="s">
        <v>63</v>
      </c>
      <c r="J464" s="45">
        <v>5000</v>
      </c>
      <c r="K464" s="1">
        <v>6</v>
      </c>
      <c r="L464" s="2">
        <v>10</v>
      </c>
      <c r="M464" s="45">
        <v>27000</v>
      </c>
      <c r="N464" s="45">
        <v>19401</v>
      </c>
      <c r="O464" s="45">
        <v>7599</v>
      </c>
      <c r="P464" s="3">
        <v>28.14</v>
      </c>
      <c r="Q464" s="32" t="s">
        <v>81</v>
      </c>
      <c r="R464" s="32" t="s">
        <v>45</v>
      </c>
      <c r="S464" s="32" t="s">
        <v>40</v>
      </c>
      <c r="T464" s="32" t="s">
        <v>41</v>
      </c>
      <c r="U464" s="38">
        <v>5</v>
      </c>
      <c r="V464" s="9"/>
    </row>
    <row r="465" spans="1:22" x14ac:dyDescent="0.35">
      <c r="A465" s="18" t="s">
        <v>558</v>
      </c>
      <c r="B465" s="8">
        <v>45173</v>
      </c>
      <c r="C465" s="23" t="s">
        <v>90</v>
      </c>
      <c r="D465" s="23" t="s">
        <v>79</v>
      </c>
      <c r="E465" s="23" t="s">
        <v>72</v>
      </c>
      <c r="F465" s="28">
        <v>2023</v>
      </c>
      <c r="G465" s="23" t="s">
        <v>25</v>
      </c>
      <c r="H465" s="23" t="s">
        <v>88</v>
      </c>
      <c r="I465" s="23" t="s">
        <v>55</v>
      </c>
      <c r="J465" s="46">
        <v>8000</v>
      </c>
      <c r="K465" s="4">
        <v>4</v>
      </c>
      <c r="L465" s="5">
        <v>5</v>
      </c>
      <c r="M465" s="46">
        <v>30400</v>
      </c>
      <c r="N465" s="46">
        <v>20677</v>
      </c>
      <c r="O465" s="46">
        <v>9723</v>
      </c>
      <c r="P465" s="6">
        <v>31.98</v>
      </c>
      <c r="Q465" s="33" t="s">
        <v>81</v>
      </c>
      <c r="R465" s="33" t="s">
        <v>45</v>
      </c>
      <c r="S465" s="33" t="s">
        <v>40</v>
      </c>
      <c r="T465" s="33" t="s">
        <v>41</v>
      </c>
      <c r="U465" s="39">
        <v>1</v>
      </c>
      <c r="V465" s="9"/>
    </row>
    <row r="466" spans="1:22" x14ac:dyDescent="0.35">
      <c r="A466" s="17" t="s">
        <v>559</v>
      </c>
      <c r="B466" s="7">
        <v>44962</v>
      </c>
      <c r="C466" s="22" t="s">
        <v>70</v>
      </c>
      <c r="D466" s="22" t="s">
        <v>74</v>
      </c>
      <c r="E466" s="22" t="s">
        <v>48</v>
      </c>
      <c r="F466" s="27">
        <v>2023</v>
      </c>
      <c r="G466" s="22" t="s">
        <v>36</v>
      </c>
      <c r="H466" s="22" t="s">
        <v>49</v>
      </c>
      <c r="I466" s="22" t="s">
        <v>50</v>
      </c>
      <c r="J466" s="45">
        <v>18000</v>
      </c>
      <c r="K466" s="1">
        <v>1</v>
      </c>
      <c r="L466" s="2">
        <v>10</v>
      </c>
      <c r="M466" s="45">
        <v>16200</v>
      </c>
      <c r="N466" s="45">
        <v>9282</v>
      </c>
      <c r="O466" s="45">
        <v>6918</v>
      </c>
      <c r="P466" s="3">
        <v>42.7</v>
      </c>
      <c r="Q466" s="32" t="s">
        <v>81</v>
      </c>
      <c r="R466" s="32" t="s">
        <v>76</v>
      </c>
      <c r="S466" s="32" t="s">
        <v>57</v>
      </c>
      <c r="T466" s="32" t="s">
        <v>31</v>
      </c>
      <c r="U466" s="38">
        <v>3</v>
      </c>
      <c r="V466" s="9"/>
    </row>
    <row r="467" spans="1:22" x14ac:dyDescent="0.35">
      <c r="A467" s="18" t="s">
        <v>560</v>
      </c>
      <c r="B467" s="8">
        <v>44949</v>
      </c>
      <c r="C467" s="23" t="s">
        <v>90</v>
      </c>
      <c r="D467" s="23" t="s">
        <v>47</v>
      </c>
      <c r="E467" s="23" t="s">
        <v>48</v>
      </c>
      <c r="F467" s="28">
        <v>2023</v>
      </c>
      <c r="G467" s="23" t="s">
        <v>43</v>
      </c>
      <c r="H467" s="23" t="s">
        <v>49</v>
      </c>
      <c r="I467" s="23" t="s">
        <v>50</v>
      </c>
      <c r="J467" s="46">
        <v>18000</v>
      </c>
      <c r="K467" s="4">
        <v>9</v>
      </c>
      <c r="L467" s="5">
        <v>10</v>
      </c>
      <c r="M467" s="46">
        <v>145800</v>
      </c>
      <c r="N467" s="46">
        <v>94335</v>
      </c>
      <c r="O467" s="46">
        <v>51465</v>
      </c>
      <c r="P467" s="6">
        <v>35.299999999999997</v>
      </c>
      <c r="Q467" s="33" t="s">
        <v>75</v>
      </c>
      <c r="R467" s="33" t="s">
        <v>56</v>
      </c>
      <c r="S467" s="33" t="s">
        <v>30</v>
      </c>
      <c r="T467" s="33" t="s">
        <v>41</v>
      </c>
      <c r="U467" s="39">
        <v>3</v>
      </c>
      <c r="V467" s="9"/>
    </row>
    <row r="468" spans="1:22" x14ac:dyDescent="0.35">
      <c r="A468" s="17" t="s">
        <v>561</v>
      </c>
      <c r="B468" s="7">
        <v>45086</v>
      </c>
      <c r="C468" s="22" t="s">
        <v>78</v>
      </c>
      <c r="D468" s="22" t="s">
        <v>87</v>
      </c>
      <c r="E468" s="22" t="s">
        <v>35</v>
      </c>
      <c r="F468" s="27">
        <v>2023</v>
      </c>
      <c r="G468" s="22" t="s">
        <v>25</v>
      </c>
      <c r="H468" s="22" t="s">
        <v>123</v>
      </c>
      <c r="I468" s="22" t="s">
        <v>38</v>
      </c>
      <c r="J468" s="45">
        <v>14000</v>
      </c>
      <c r="K468" s="1">
        <v>6</v>
      </c>
      <c r="L468" s="2">
        <v>10</v>
      </c>
      <c r="M468" s="45">
        <v>75600</v>
      </c>
      <c r="N468" s="45">
        <v>44791</v>
      </c>
      <c r="O468" s="45">
        <v>30809</v>
      </c>
      <c r="P468" s="3">
        <v>40.75</v>
      </c>
      <c r="Q468" s="32" t="s">
        <v>81</v>
      </c>
      <c r="R468" s="32" t="s">
        <v>45</v>
      </c>
      <c r="S468" s="32" t="s">
        <v>30</v>
      </c>
      <c r="T468" s="32" t="s">
        <v>31</v>
      </c>
      <c r="U468" s="38">
        <v>1</v>
      </c>
      <c r="V468" s="9"/>
    </row>
    <row r="469" spans="1:22" x14ac:dyDescent="0.35">
      <c r="A469" s="18" t="s">
        <v>562</v>
      </c>
      <c r="B469" s="8">
        <v>45259</v>
      </c>
      <c r="C469" s="23" t="s">
        <v>22</v>
      </c>
      <c r="D469" s="23" t="s">
        <v>110</v>
      </c>
      <c r="E469" s="23" t="s">
        <v>24</v>
      </c>
      <c r="F469" s="28">
        <v>2023</v>
      </c>
      <c r="G469" s="23" t="s">
        <v>61</v>
      </c>
      <c r="H469" s="23" t="s">
        <v>131</v>
      </c>
      <c r="I469" s="23" t="s">
        <v>63</v>
      </c>
      <c r="J469" s="46">
        <v>10000</v>
      </c>
      <c r="K469" s="4">
        <v>8</v>
      </c>
      <c r="L469" s="5">
        <v>20</v>
      </c>
      <c r="M469" s="46">
        <v>64000</v>
      </c>
      <c r="N469" s="46">
        <v>44981</v>
      </c>
      <c r="O469" s="46">
        <v>19019</v>
      </c>
      <c r="P469" s="6">
        <v>29.72</v>
      </c>
      <c r="Q469" s="33" t="s">
        <v>75</v>
      </c>
      <c r="R469" s="33" t="s">
        <v>76</v>
      </c>
      <c r="S469" s="33" t="s">
        <v>85</v>
      </c>
      <c r="T469" s="33" t="s">
        <v>31</v>
      </c>
      <c r="U469" s="39">
        <v>5</v>
      </c>
      <c r="V469" s="9"/>
    </row>
    <row r="470" spans="1:22" x14ac:dyDescent="0.35">
      <c r="A470" s="17" t="s">
        <v>563</v>
      </c>
      <c r="B470" s="7">
        <v>45317</v>
      </c>
      <c r="C470" s="22" t="s">
        <v>78</v>
      </c>
      <c r="D470" s="22" t="s">
        <v>47</v>
      </c>
      <c r="E470" s="22" t="s">
        <v>48</v>
      </c>
      <c r="F470" s="27">
        <v>2024</v>
      </c>
      <c r="G470" s="22" t="s">
        <v>36</v>
      </c>
      <c r="H470" s="22" t="s">
        <v>26</v>
      </c>
      <c r="I470" s="22" t="s">
        <v>27</v>
      </c>
      <c r="J470" s="45">
        <v>5000</v>
      </c>
      <c r="K470" s="1">
        <v>6</v>
      </c>
      <c r="L470" s="2">
        <v>0</v>
      </c>
      <c r="M470" s="45">
        <v>30000</v>
      </c>
      <c r="N470" s="45">
        <v>20987</v>
      </c>
      <c r="O470" s="45">
        <v>9013</v>
      </c>
      <c r="P470" s="3">
        <v>30.04</v>
      </c>
      <c r="Q470" s="32" t="s">
        <v>51</v>
      </c>
      <c r="R470" s="32" t="s">
        <v>67</v>
      </c>
      <c r="S470" s="32" t="s">
        <v>30</v>
      </c>
      <c r="T470" s="32" t="s">
        <v>31</v>
      </c>
      <c r="U470" s="38">
        <v>4</v>
      </c>
      <c r="V470" s="9"/>
    </row>
    <row r="471" spans="1:22" x14ac:dyDescent="0.35">
      <c r="A471" s="18" t="s">
        <v>564</v>
      </c>
      <c r="B471" s="8">
        <v>44982</v>
      </c>
      <c r="C471" s="23" t="s">
        <v>53</v>
      </c>
      <c r="D471" s="23" t="s">
        <v>74</v>
      </c>
      <c r="E471" s="23" t="s">
        <v>48</v>
      </c>
      <c r="F471" s="28">
        <v>2023</v>
      </c>
      <c r="G471" s="23" t="s">
        <v>36</v>
      </c>
      <c r="H471" s="23" t="s">
        <v>49</v>
      </c>
      <c r="I471" s="23" t="s">
        <v>50</v>
      </c>
      <c r="J471" s="46">
        <v>18000</v>
      </c>
      <c r="K471" s="4">
        <v>1</v>
      </c>
      <c r="L471" s="5">
        <v>0</v>
      </c>
      <c r="M471" s="46">
        <v>18000</v>
      </c>
      <c r="N471" s="46">
        <v>11552</v>
      </c>
      <c r="O471" s="46">
        <v>6448</v>
      </c>
      <c r="P471" s="6">
        <v>35.82</v>
      </c>
      <c r="Q471" s="33" t="s">
        <v>39</v>
      </c>
      <c r="R471" s="33" t="s">
        <v>45</v>
      </c>
      <c r="S471" s="33" t="s">
        <v>85</v>
      </c>
      <c r="T471" s="33" t="s">
        <v>31</v>
      </c>
      <c r="U471" s="39">
        <v>1</v>
      </c>
      <c r="V471" s="9"/>
    </row>
    <row r="472" spans="1:22" x14ac:dyDescent="0.35">
      <c r="A472" s="17" t="s">
        <v>565</v>
      </c>
      <c r="B472" s="7">
        <v>45616</v>
      </c>
      <c r="C472" s="22" t="s">
        <v>22</v>
      </c>
      <c r="D472" s="22" t="s">
        <v>110</v>
      </c>
      <c r="E472" s="22" t="s">
        <v>24</v>
      </c>
      <c r="F472" s="27">
        <v>2024</v>
      </c>
      <c r="G472" s="22" t="s">
        <v>25</v>
      </c>
      <c r="H472" s="22" t="s">
        <v>98</v>
      </c>
      <c r="I472" s="22" t="s">
        <v>63</v>
      </c>
      <c r="J472" s="45">
        <v>28000</v>
      </c>
      <c r="K472" s="1">
        <v>10</v>
      </c>
      <c r="L472" s="2">
        <v>10</v>
      </c>
      <c r="M472" s="45">
        <v>252000</v>
      </c>
      <c r="N472" s="45">
        <v>160223</v>
      </c>
      <c r="O472" s="45">
        <v>91777</v>
      </c>
      <c r="P472" s="3">
        <v>36.42</v>
      </c>
      <c r="Q472" s="32" t="s">
        <v>39</v>
      </c>
      <c r="R472" s="32" t="s">
        <v>67</v>
      </c>
      <c r="S472" s="32" t="s">
        <v>57</v>
      </c>
      <c r="T472" s="32" t="s">
        <v>31</v>
      </c>
      <c r="U472" s="38">
        <v>2</v>
      </c>
      <c r="V472" s="9"/>
    </row>
    <row r="473" spans="1:22" x14ac:dyDescent="0.35">
      <c r="A473" s="18" t="s">
        <v>566</v>
      </c>
      <c r="B473" s="8">
        <v>45271</v>
      </c>
      <c r="C473" s="23" t="s">
        <v>90</v>
      </c>
      <c r="D473" s="23" t="s">
        <v>97</v>
      </c>
      <c r="E473" s="23" t="s">
        <v>24</v>
      </c>
      <c r="F473" s="28">
        <v>2023</v>
      </c>
      <c r="G473" s="23" t="s">
        <v>25</v>
      </c>
      <c r="H473" s="23" t="s">
        <v>174</v>
      </c>
      <c r="I473" s="23" t="s">
        <v>27</v>
      </c>
      <c r="J473" s="46">
        <v>12000</v>
      </c>
      <c r="K473" s="4">
        <v>10</v>
      </c>
      <c r="L473" s="5">
        <v>15</v>
      </c>
      <c r="M473" s="46">
        <v>102000</v>
      </c>
      <c r="N473" s="46">
        <v>56955</v>
      </c>
      <c r="O473" s="46">
        <v>45045</v>
      </c>
      <c r="P473" s="6">
        <v>44.16</v>
      </c>
      <c r="Q473" s="33" t="s">
        <v>51</v>
      </c>
      <c r="R473" s="33" t="s">
        <v>45</v>
      </c>
      <c r="S473" s="33" t="s">
        <v>30</v>
      </c>
      <c r="T473" s="33" t="s">
        <v>41</v>
      </c>
      <c r="U473" s="39">
        <v>2</v>
      </c>
      <c r="V473" s="9"/>
    </row>
    <row r="474" spans="1:22" x14ac:dyDescent="0.35">
      <c r="A474" s="17" t="s">
        <v>567</v>
      </c>
      <c r="B474" s="7">
        <v>45065</v>
      </c>
      <c r="C474" s="22" t="s">
        <v>78</v>
      </c>
      <c r="D474" s="22" t="s">
        <v>116</v>
      </c>
      <c r="E474" s="22" t="s">
        <v>35</v>
      </c>
      <c r="F474" s="27">
        <v>2023</v>
      </c>
      <c r="G474" s="22" t="s">
        <v>36</v>
      </c>
      <c r="H474" s="22" t="s">
        <v>119</v>
      </c>
      <c r="I474" s="22" t="s">
        <v>63</v>
      </c>
      <c r="J474" s="45">
        <v>16000</v>
      </c>
      <c r="K474" s="1">
        <v>4</v>
      </c>
      <c r="L474" s="2">
        <v>5</v>
      </c>
      <c r="M474" s="45">
        <v>60800</v>
      </c>
      <c r="N474" s="45">
        <v>37526</v>
      </c>
      <c r="O474" s="45">
        <v>23274</v>
      </c>
      <c r="P474" s="3">
        <v>38.28</v>
      </c>
      <c r="Q474" s="32" t="s">
        <v>75</v>
      </c>
      <c r="R474" s="32" t="s">
        <v>56</v>
      </c>
      <c r="S474" s="32" t="s">
        <v>85</v>
      </c>
      <c r="T474" s="32" t="s">
        <v>31</v>
      </c>
      <c r="U474" s="38">
        <v>1</v>
      </c>
      <c r="V474" s="9"/>
    </row>
    <row r="475" spans="1:22" x14ac:dyDescent="0.35">
      <c r="A475" s="18" t="s">
        <v>568</v>
      </c>
      <c r="B475" s="8">
        <v>45199</v>
      </c>
      <c r="C475" s="23" t="s">
        <v>53</v>
      </c>
      <c r="D475" s="23" t="s">
        <v>79</v>
      </c>
      <c r="E475" s="23" t="s">
        <v>72</v>
      </c>
      <c r="F475" s="28">
        <v>2023</v>
      </c>
      <c r="G475" s="23" t="s">
        <v>61</v>
      </c>
      <c r="H475" s="23" t="s">
        <v>62</v>
      </c>
      <c r="I475" s="23" t="s">
        <v>63</v>
      </c>
      <c r="J475" s="46">
        <v>5000</v>
      </c>
      <c r="K475" s="4">
        <v>10</v>
      </c>
      <c r="L475" s="5">
        <v>0</v>
      </c>
      <c r="M475" s="46">
        <v>50000</v>
      </c>
      <c r="N475" s="46">
        <v>28457</v>
      </c>
      <c r="O475" s="46">
        <v>21543</v>
      </c>
      <c r="P475" s="6">
        <v>43.09</v>
      </c>
      <c r="Q475" s="33" t="s">
        <v>51</v>
      </c>
      <c r="R475" s="33" t="s">
        <v>67</v>
      </c>
      <c r="S475" s="33" t="s">
        <v>57</v>
      </c>
      <c r="T475" s="33" t="s">
        <v>31</v>
      </c>
      <c r="U475" s="39">
        <v>3</v>
      </c>
      <c r="V475" s="9"/>
    </row>
    <row r="476" spans="1:22" x14ac:dyDescent="0.35">
      <c r="A476" s="17" t="s">
        <v>569</v>
      </c>
      <c r="B476" s="7">
        <v>45279</v>
      </c>
      <c r="C476" s="22" t="s">
        <v>83</v>
      </c>
      <c r="D476" s="22" t="s">
        <v>97</v>
      </c>
      <c r="E476" s="22" t="s">
        <v>24</v>
      </c>
      <c r="F476" s="27">
        <v>2023</v>
      </c>
      <c r="G476" s="22" t="s">
        <v>36</v>
      </c>
      <c r="H476" s="22" t="s">
        <v>80</v>
      </c>
      <c r="I476" s="22" t="s">
        <v>55</v>
      </c>
      <c r="J476" s="45">
        <v>25000</v>
      </c>
      <c r="K476" s="1">
        <v>5</v>
      </c>
      <c r="L476" s="2">
        <v>0</v>
      </c>
      <c r="M476" s="45">
        <v>125000</v>
      </c>
      <c r="N476" s="45">
        <v>89738</v>
      </c>
      <c r="O476" s="45">
        <v>35262</v>
      </c>
      <c r="P476" s="3">
        <v>28.21</v>
      </c>
      <c r="Q476" s="32" t="s">
        <v>75</v>
      </c>
      <c r="R476" s="32" t="s">
        <v>67</v>
      </c>
      <c r="S476" s="32" t="s">
        <v>85</v>
      </c>
      <c r="T476" s="32" t="s">
        <v>41</v>
      </c>
      <c r="U476" s="38">
        <v>1</v>
      </c>
      <c r="V476" s="9"/>
    </row>
    <row r="477" spans="1:22" x14ac:dyDescent="0.35">
      <c r="A477" s="18" t="s">
        <v>570</v>
      </c>
      <c r="B477" s="8">
        <v>45166</v>
      </c>
      <c r="C477" s="23" t="s">
        <v>90</v>
      </c>
      <c r="D477" s="23" t="s">
        <v>108</v>
      </c>
      <c r="E477" s="23" t="s">
        <v>72</v>
      </c>
      <c r="F477" s="28">
        <v>2023</v>
      </c>
      <c r="G477" s="23" t="s">
        <v>36</v>
      </c>
      <c r="H477" s="23" t="s">
        <v>123</v>
      </c>
      <c r="I477" s="23" t="s">
        <v>38</v>
      </c>
      <c r="J477" s="46">
        <v>14000</v>
      </c>
      <c r="K477" s="4">
        <v>3</v>
      </c>
      <c r="L477" s="5">
        <v>20</v>
      </c>
      <c r="M477" s="46">
        <v>33600</v>
      </c>
      <c r="N477" s="46">
        <v>22641</v>
      </c>
      <c r="O477" s="46">
        <v>10959</v>
      </c>
      <c r="P477" s="6">
        <v>32.619999999999997</v>
      </c>
      <c r="Q477" s="33" t="s">
        <v>28</v>
      </c>
      <c r="R477" s="33" t="s">
        <v>76</v>
      </c>
      <c r="S477" s="33" t="s">
        <v>30</v>
      </c>
      <c r="T477" s="33" t="s">
        <v>31</v>
      </c>
      <c r="U477" s="39">
        <v>3</v>
      </c>
      <c r="V477" s="9"/>
    </row>
    <row r="478" spans="1:22" x14ac:dyDescent="0.35">
      <c r="A478" s="17" t="s">
        <v>571</v>
      </c>
      <c r="B478" s="7">
        <v>44941</v>
      </c>
      <c r="C478" s="22" t="s">
        <v>70</v>
      </c>
      <c r="D478" s="22" t="s">
        <v>47</v>
      </c>
      <c r="E478" s="22" t="s">
        <v>48</v>
      </c>
      <c r="F478" s="27">
        <v>2023</v>
      </c>
      <c r="G478" s="22" t="s">
        <v>36</v>
      </c>
      <c r="H478" s="22" t="s">
        <v>117</v>
      </c>
      <c r="I478" s="22" t="s">
        <v>50</v>
      </c>
      <c r="J478" s="45">
        <v>8000</v>
      </c>
      <c r="K478" s="1">
        <v>5</v>
      </c>
      <c r="L478" s="2">
        <v>5</v>
      </c>
      <c r="M478" s="45">
        <v>38000</v>
      </c>
      <c r="N478" s="45">
        <v>23944</v>
      </c>
      <c r="O478" s="45">
        <v>14056</v>
      </c>
      <c r="P478" s="3">
        <v>36.99</v>
      </c>
      <c r="Q478" s="32" t="s">
        <v>81</v>
      </c>
      <c r="R478" s="32" t="s">
        <v>56</v>
      </c>
      <c r="S478" s="32" t="s">
        <v>85</v>
      </c>
      <c r="T478" s="32" t="s">
        <v>31</v>
      </c>
      <c r="U478" s="38">
        <v>5</v>
      </c>
      <c r="V478" s="9"/>
    </row>
    <row r="479" spans="1:22" x14ac:dyDescent="0.35">
      <c r="A479" s="18" t="s">
        <v>572</v>
      </c>
      <c r="B479" s="8">
        <v>45462</v>
      </c>
      <c r="C479" s="23" t="s">
        <v>22</v>
      </c>
      <c r="D479" s="23" t="s">
        <v>87</v>
      </c>
      <c r="E479" s="23" t="s">
        <v>35</v>
      </c>
      <c r="F479" s="28">
        <v>2024</v>
      </c>
      <c r="G479" s="23" t="s">
        <v>43</v>
      </c>
      <c r="H479" s="23" t="s">
        <v>49</v>
      </c>
      <c r="I479" s="23" t="s">
        <v>50</v>
      </c>
      <c r="J479" s="46">
        <v>18000</v>
      </c>
      <c r="K479" s="4">
        <v>8</v>
      </c>
      <c r="L479" s="5">
        <v>10</v>
      </c>
      <c r="M479" s="46">
        <v>129600</v>
      </c>
      <c r="N479" s="46">
        <v>87362</v>
      </c>
      <c r="O479" s="46">
        <v>42238</v>
      </c>
      <c r="P479" s="6">
        <v>32.590000000000003</v>
      </c>
      <c r="Q479" s="33" t="s">
        <v>39</v>
      </c>
      <c r="R479" s="33" t="s">
        <v>76</v>
      </c>
      <c r="S479" s="33" t="s">
        <v>40</v>
      </c>
      <c r="T479" s="33" t="s">
        <v>41</v>
      </c>
      <c r="U479" s="39">
        <v>2</v>
      </c>
      <c r="V479" s="9"/>
    </row>
    <row r="480" spans="1:22" x14ac:dyDescent="0.35">
      <c r="A480" s="17" t="s">
        <v>573</v>
      </c>
      <c r="B480" s="7">
        <v>44988</v>
      </c>
      <c r="C480" s="22" t="s">
        <v>78</v>
      </c>
      <c r="D480" s="22" t="s">
        <v>65</v>
      </c>
      <c r="E480" s="22" t="s">
        <v>48</v>
      </c>
      <c r="F480" s="27">
        <v>2023</v>
      </c>
      <c r="G480" s="22" t="s">
        <v>61</v>
      </c>
      <c r="H480" s="22" t="s">
        <v>104</v>
      </c>
      <c r="I480" s="22" t="s">
        <v>50</v>
      </c>
      <c r="J480" s="45">
        <v>15000</v>
      </c>
      <c r="K480" s="1">
        <v>10</v>
      </c>
      <c r="L480" s="2">
        <v>0</v>
      </c>
      <c r="M480" s="45">
        <v>150000</v>
      </c>
      <c r="N480" s="45">
        <v>83854</v>
      </c>
      <c r="O480" s="45">
        <v>66146</v>
      </c>
      <c r="P480" s="3">
        <v>44.1</v>
      </c>
      <c r="Q480" s="32" t="s">
        <v>28</v>
      </c>
      <c r="R480" s="32" t="s">
        <v>76</v>
      </c>
      <c r="S480" s="32" t="s">
        <v>40</v>
      </c>
      <c r="T480" s="32" t="s">
        <v>41</v>
      </c>
      <c r="U480" s="38">
        <v>1</v>
      </c>
      <c r="V480" s="9"/>
    </row>
    <row r="481" spans="1:22" x14ac:dyDescent="0.35">
      <c r="A481" s="18" t="s">
        <v>574</v>
      </c>
      <c r="B481" s="8">
        <v>44946</v>
      </c>
      <c r="C481" s="23" t="s">
        <v>78</v>
      </c>
      <c r="D481" s="23" t="s">
        <v>47</v>
      </c>
      <c r="E481" s="23" t="s">
        <v>48</v>
      </c>
      <c r="F481" s="28">
        <v>2023</v>
      </c>
      <c r="G481" s="23" t="s">
        <v>43</v>
      </c>
      <c r="H481" s="23" t="s">
        <v>59</v>
      </c>
      <c r="I481" s="23" t="s">
        <v>50</v>
      </c>
      <c r="J481" s="46">
        <v>22000</v>
      </c>
      <c r="K481" s="4">
        <v>4</v>
      </c>
      <c r="L481" s="5">
        <v>5</v>
      </c>
      <c r="M481" s="46">
        <v>83600</v>
      </c>
      <c r="N481" s="46">
        <v>53207</v>
      </c>
      <c r="O481" s="46">
        <v>30393</v>
      </c>
      <c r="P481" s="6">
        <v>36.36</v>
      </c>
      <c r="Q481" s="33" t="s">
        <v>28</v>
      </c>
      <c r="R481" s="33" t="s">
        <v>45</v>
      </c>
      <c r="S481" s="33" t="s">
        <v>40</v>
      </c>
      <c r="T481" s="33" t="s">
        <v>31</v>
      </c>
      <c r="U481" s="39">
        <v>2</v>
      </c>
      <c r="V481" s="9"/>
    </row>
    <row r="482" spans="1:22" x14ac:dyDescent="0.35">
      <c r="A482" s="17" t="s">
        <v>575</v>
      </c>
      <c r="B482" s="7">
        <v>45439</v>
      </c>
      <c r="C482" s="22" t="s">
        <v>90</v>
      </c>
      <c r="D482" s="22" t="s">
        <v>116</v>
      </c>
      <c r="E482" s="22" t="s">
        <v>35</v>
      </c>
      <c r="F482" s="27">
        <v>2024</v>
      </c>
      <c r="G482" s="22" t="s">
        <v>25</v>
      </c>
      <c r="H482" s="22" t="s">
        <v>119</v>
      </c>
      <c r="I482" s="22" t="s">
        <v>63</v>
      </c>
      <c r="J482" s="45">
        <v>16000</v>
      </c>
      <c r="K482" s="1">
        <v>1</v>
      </c>
      <c r="L482" s="2">
        <v>0</v>
      </c>
      <c r="M482" s="45">
        <v>16000</v>
      </c>
      <c r="N482" s="45">
        <v>9473</v>
      </c>
      <c r="O482" s="45">
        <v>6527</v>
      </c>
      <c r="P482" s="3">
        <v>40.79</v>
      </c>
      <c r="Q482" s="32" t="s">
        <v>75</v>
      </c>
      <c r="R482" s="32" t="s">
        <v>45</v>
      </c>
      <c r="S482" s="32" t="s">
        <v>57</v>
      </c>
      <c r="T482" s="32" t="s">
        <v>41</v>
      </c>
      <c r="U482" s="38">
        <v>2</v>
      </c>
      <c r="V482" s="9"/>
    </row>
    <row r="483" spans="1:22" x14ac:dyDescent="0.35">
      <c r="A483" s="18" t="s">
        <v>576</v>
      </c>
      <c r="B483" s="8">
        <v>44945</v>
      </c>
      <c r="C483" s="23" t="s">
        <v>33</v>
      </c>
      <c r="D483" s="23" t="s">
        <v>47</v>
      </c>
      <c r="E483" s="23" t="s">
        <v>48</v>
      </c>
      <c r="F483" s="28">
        <v>2023</v>
      </c>
      <c r="G483" s="23" t="s">
        <v>61</v>
      </c>
      <c r="H483" s="23" t="s">
        <v>145</v>
      </c>
      <c r="I483" s="23" t="s">
        <v>50</v>
      </c>
      <c r="J483" s="46">
        <v>12000</v>
      </c>
      <c r="K483" s="4">
        <v>6</v>
      </c>
      <c r="L483" s="5">
        <v>15</v>
      </c>
      <c r="M483" s="46">
        <v>61200</v>
      </c>
      <c r="N483" s="46">
        <v>36805</v>
      </c>
      <c r="O483" s="46">
        <v>24395</v>
      </c>
      <c r="P483" s="6">
        <v>39.86</v>
      </c>
      <c r="Q483" s="33" t="s">
        <v>75</v>
      </c>
      <c r="R483" s="33" t="s">
        <v>45</v>
      </c>
      <c r="S483" s="33" t="s">
        <v>30</v>
      </c>
      <c r="T483" s="33" t="s">
        <v>41</v>
      </c>
      <c r="U483" s="39">
        <v>1</v>
      </c>
      <c r="V483" s="9"/>
    </row>
    <row r="484" spans="1:22" x14ac:dyDescent="0.35">
      <c r="A484" s="17" t="s">
        <v>577</v>
      </c>
      <c r="B484" s="7">
        <v>45495</v>
      </c>
      <c r="C484" s="22" t="s">
        <v>90</v>
      </c>
      <c r="D484" s="22" t="s">
        <v>71</v>
      </c>
      <c r="E484" s="22" t="s">
        <v>72</v>
      </c>
      <c r="F484" s="27">
        <v>2024</v>
      </c>
      <c r="G484" s="22" t="s">
        <v>36</v>
      </c>
      <c r="H484" s="22" t="s">
        <v>104</v>
      </c>
      <c r="I484" s="22" t="s">
        <v>50</v>
      </c>
      <c r="J484" s="45">
        <v>15000</v>
      </c>
      <c r="K484" s="1">
        <v>3</v>
      </c>
      <c r="L484" s="2">
        <v>0</v>
      </c>
      <c r="M484" s="45">
        <v>45000</v>
      </c>
      <c r="N484" s="45">
        <v>31613</v>
      </c>
      <c r="O484" s="45">
        <v>13387</v>
      </c>
      <c r="P484" s="3">
        <v>29.75</v>
      </c>
      <c r="Q484" s="32" t="s">
        <v>39</v>
      </c>
      <c r="R484" s="32" t="s">
        <v>76</v>
      </c>
      <c r="S484" s="32" t="s">
        <v>40</v>
      </c>
      <c r="T484" s="32" t="s">
        <v>41</v>
      </c>
      <c r="U484" s="38">
        <v>2</v>
      </c>
      <c r="V484" s="9"/>
    </row>
    <row r="485" spans="1:22" x14ac:dyDescent="0.35">
      <c r="A485" s="18" t="s">
        <v>578</v>
      </c>
      <c r="B485" s="8">
        <v>45513</v>
      </c>
      <c r="C485" s="23" t="s">
        <v>78</v>
      </c>
      <c r="D485" s="23" t="s">
        <v>108</v>
      </c>
      <c r="E485" s="23" t="s">
        <v>72</v>
      </c>
      <c r="F485" s="28">
        <v>2024</v>
      </c>
      <c r="G485" s="23" t="s">
        <v>36</v>
      </c>
      <c r="H485" s="23" t="s">
        <v>113</v>
      </c>
      <c r="I485" s="23" t="s">
        <v>38</v>
      </c>
      <c r="J485" s="46">
        <v>3500</v>
      </c>
      <c r="K485" s="4">
        <v>5</v>
      </c>
      <c r="L485" s="5">
        <v>10</v>
      </c>
      <c r="M485" s="46">
        <v>15750</v>
      </c>
      <c r="N485" s="46">
        <v>9544</v>
      </c>
      <c r="O485" s="46">
        <v>6206</v>
      </c>
      <c r="P485" s="6">
        <v>39.4</v>
      </c>
      <c r="Q485" s="33" t="s">
        <v>75</v>
      </c>
      <c r="R485" s="33" t="s">
        <v>56</v>
      </c>
      <c r="S485" s="33" t="s">
        <v>68</v>
      </c>
      <c r="T485" s="33" t="s">
        <v>31</v>
      </c>
      <c r="U485" s="39">
        <v>2</v>
      </c>
      <c r="V485" s="9"/>
    </row>
    <row r="486" spans="1:22" x14ac:dyDescent="0.35">
      <c r="A486" s="17" t="s">
        <v>579</v>
      </c>
      <c r="B486" s="7">
        <v>45243</v>
      </c>
      <c r="C486" s="22" t="s">
        <v>90</v>
      </c>
      <c r="D486" s="22" t="s">
        <v>110</v>
      </c>
      <c r="E486" s="22" t="s">
        <v>24</v>
      </c>
      <c r="F486" s="27">
        <v>2023</v>
      </c>
      <c r="G486" s="22" t="s">
        <v>43</v>
      </c>
      <c r="H486" s="22" t="s">
        <v>186</v>
      </c>
      <c r="I486" s="22" t="s">
        <v>55</v>
      </c>
      <c r="J486" s="45">
        <v>20000</v>
      </c>
      <c r="K486" s="1">
        <v>7</v>
      </c>
      <c r="L486" s="2">
        <v>20</v>
      </c>
      <c r="M486" s="45">
        <v>112000</v>
      </c>
      <c r="N486" s="45">
        <v>64364</v>
      </c>
      <c r="O486" s="45">
        <v>47636</v>
      </c>
      <c r="P486" s="3">
        <v>42.53</v>
      </c>
      <c r="Q486" s="32" t="s">
        <v>75</v>
      </c>
      <c r="R486" s="32" t="s">
        <v>56</v>
      </c>
      <c r="S486" s="32" t="s">
        <v>57</v>
      </c>
      <c r="T486" s="32" t="s">
        <v>31</v>
      </c>
      <c r="U486" s="38">
        <v>2</v>
      </c>
      <c r="V486" s="9"/>
    </row>
    <row r="487" spans="1:22" x14ac:dyDescent="0.35">
      <c r="A487" s="18" t="s">
        <v>580</v>
      </c>
      <c r="B487" s="8">
        <v>45252</v>
      </c>
      <c r="C487" s="23" t="s">
        <v>22</v>
      </c>
      <c r="D487" s="23" t="s">
        <v>110</v>
      </c>
      <c r="E487" s="23" t="s">
        <v>24</v>
      </c>
      <c r="F487" s="28">
        <v>2023</v>
      </c>
      <c r="G487" s="23" t="s">
        <v>36</v>
      </c>
      <c r="H487" s="23" t="s">
        <v>106</v>
      </c>
      <c r="I487" s="23" t="s">
        <v>38</v>
      </c>
      <c r="J487" s="46">
        <v>12000</v>
      </c>
      <c r="K487" s="4">
        <v>6</v>
      </c>
      <c r="L487" s="5">
        <v>5</v>
      </c>
      <c r="M487" s="46">
        <v>68400</v>
      </c>
      <c r="N487" s="46">
        <v>48797</v>
      </c>
      <c r="O487" s="46">
        <v>19603</v>
      </c>
      <c r="P487" s="6">
        <v>28.66</v>
      </c>
      <c r="Q487" s="33" t="s">
        <v>81</v>
      </c>
      <c r="R487" s="33" t="s">
        <v>67</v>
      </c>
      <c r="S487" s="33" t="s">
        <v>57</v>
      </c>
      <c r="T487" s="33" t="s">
        <v>31</v>
      </c>
      <c r="U487" s="39">
        <v>1</v>
      </c>
      <c r="V487" s="9"/>
    </row>
    <row r="488" spans="1:22" x14ac:dyDescent="0.35">
      <c r="A488" s="17" t="s">
        <v>581</v>
      </c>
      <c r="B488" s="7">
        <v>45061</v>
      </c>
      <c r="C488" s="22" t="s">
        <v>90</v>
      </c>
      <c r="D488" s="22" t="s">
        <v>116</v>
      </c>
      <c r="E488" s="22" t="s">
        <v>35</v>
      </c>
      <c r="F488" s="27">
        <v>2023</v>
      </c>
      <c r="G488" s="22" t="s">
        <v>36</v>
      </c>
      <c r="H488" s="22" t="s">
        <v>106</v>
      </c>
      <c r="I488" s="22" t="s">
        <v>38</v>
      </c>
      <c r="J488" s="45">
        <v>12000</v>
      </c>
      <c r="K488" s="1">
        <v>10</v>
      </c>
      <c r="L488" s="2">
        <v>10</v>
      </c>
      <c r="M488" s="45">
        <v>108000</v>
      </c>
      <c r="N488" s="45">
        <v>64300</v>
      </c>
      <c r="O488" s="45">
        <v>43700</v>
      </c>
      <c r="P488" s="3">
        <v>40.46</v>
      </c>
      <c r="Q488" s="32" t="s">
        <v>75</v>
      </c>
      <c r="R488" s="32" t="s">
        <v>29</v>
      </c>
      <c r="S488" s="32" t="s">
        <v>68</v>
      </c>
      <c r="T488" s="32" t="s">
        <v>31</v>
      </c>
      <c r="U488" s="38">
        <v>1</v>
      </c>
      <c r="V488" s="9"/>
    </row>
    <row r="489" spans="1:22" x14ac:dyDescent="0.35">
      <c r="A489" s="18" t="s">
        <v>582</v>
      </c>
      <c r="B489" s="8">
        <v>45294</v>
      </c>
      <c r="C489" s="23" t="s">
        <v>22</v>
      </c>
      <c r="D489" s="23" t="s">
        <v>47</v>
      </c>
      <c r="E489" s="23" t="s">
        <v>48</v>
      </c>
      <c r="F489" s="28">
        <v>2024</v>
      </c>
      <c r="G489" s="23" t="s">
        <v>25</v>
      </c>
      <c r="H489" s="23" t="s">
        <v>174</v>
      </c>
      <c r="I489" s="23" t="s">
        <v>27</v>
      </c>
      <c r="J489" s="46">
        <v>12000</v>
      </c>
      <c r="K489" s="4">
        <v>3</v>
      </c>
      <c r="L489" s="5">
        <v>10</v>
      </c>
      <c r="M489" s="46">
        <v>32400</v>
      </c>
      <c r="N489" s="46">
        <v>22481</v>
      </c>
      <c r="O489" s="46">
        <v>9919</v>
      </c>
      <c r="P489" s="6">
        <v>30.61</v>
      </c>
      <c r="Q489" s="33" t="s">
        <v>51</v>
      </c>
      <c r="R489" s="33" t="s">
        <v>45</v>
      </c>
      <c r="S489" s="33" t="s">
        <v>68</v>
      </c>
      <c r="T489" s="33" t="s">
        <v>41</v>
      </c>
      <c r="U489" s="39">
        <v>4</v>
      </c>
      <c r="V489" s="9"/>
    </row>
    <row r="490" spans="1:22" x14ac:dyDescent="0.35">
      <c r="A490" s="17" t="s">
        <v>583</v>
      </c>
      <c r="B490" s="7">
        <v>45067</v>
      </c>
      <c r="C490" s="22" t="s">
        <v>70</v>
      </c>
      <c r="D490" s="22" t="s">
        <v>116</v>
      </c>
      <c r="E490" s="22" t="s">
        <v>35</v>
      </c>
      <c r="F490" s="27">
        <v>2023</v>
      </c>
      <c r="G490" s="22" t="s">
        <v>36</v>
      </c>
      <c r="H490" s="22" t="s">
        <v>37</v>
      </c>
      <c r="I490" s="22" t="s">
        <v>38</v>
      </c>
      <c r="J490" s="45">
        <v>10000</v>
      </c>
      <c r="K490" s="1">
        <v>4</v>
      </c>
      <c r="L490" s="2">
        <v>0</v>
      </c>
      <c r="M490" s="45">
        <v>40000</v>
      </c>
      <c r="N490" s="45">
        <v>24778</v>
      </c>
      <c r="O490" s="45">
        <v>15222</v>
      </c>
      <c r="P490" s="3">
        <v>38.049999999999997</v>
      </c>
      <c r="Q490" s="32" t="s">
        <v>28</v>
      </c>
      <c r="R490" s="32" t="s">
        <v>45</v>
      </c>
      <c r="S490" s="32" t="s">
        <v>40</v>
      </c>
      <c r="T490" s="32" t="s">
        <v>31</v>
      </c>
      <c r="U490" s="38">
        <v>2</v>
      </c>
      <c r="V490" s="9"/>
    </row>
    <row r="491" spans="1:22" x14ac:dyDescent="0.35">
      <c r="A491" s="18" t="s">
        <v>584</v>
      </c>
      <c r="B491" s="8">
        <v>44994</v>
      </c>
      <c r="C491" s="23" t="s">
        <v>33</v>
      </c>
      <c r="D491" s="23" t="s">
        <v>65</v>
      </c>
      <c r="E491" s="23" t="s">
        <v>48</v>
      </c>
      <c r="F491" s="28">
        <v>2023</v>
      </c>
      <c r="G491" s="23" t="s">
        <v>25</v>
      </c>
      <c r="H491" s="23" t="s">
        <v>113</v>
      </c>
      <c r="I491" s="23" t="s">
        <v>38</v>
      </c>
      <c r="J491" s="46">
        <v>3500</v>
      </c>
      <c r="K491" s="4">
        <v>10</v>
      </c>
      <c r="L491" s="5">
        <v>5</v>
      </c>
      <c r="M491" s="46">
        <v>33250</v>
      </c>
      <c r="N491" s="46">
        <v>22176</v>
      </c>
      <c r="O491" s="46">
        <v>11074</v>
      </c>
      <c r="P491" s="6">
        <v>33.31</v>
      </c>
      <c r="Q491" s="33" t="s">
        <v>51</v>
      </c>
      <c r="R491" s="33" t="s">
        <v>56</v>
      </c>
      <c r="S491" s="33" t="s">
        <v>40</v>
      </c>
      <c r="T491" s="33" t="s">
        <v>31</v>
      </c>
      <c r="U491" s="39">
        <v>5</v>
      </c>
      <c r="V491" s="9"/>
    </row>
    <row r="492" spans="1:22" x14ac:dyDescent="0.35">
      <c r="A492" s="17" t="s">
        <v>585</v>
      </c>
      <c r="B492" s="7">
        <v>45316</v>
      </c>
      <c r="C492" s="22" t="s">
        <v>33</v>
      </c>
      <c r="D492" s="22" t="s">
        <v>47</v>
      </c>
      <c r="E492" s="22" t="s">
        <v>48</v>
      </c>
      <c r="F492" s="27">
        <v>2024</v>
      </c>
      <c r="G492" s="22" t="s">
        <v>43</v>
      </c>
      <c r="H492" s="22" t="s">
        <v>59</v>
      </c>
      <c r="I492" s="22" t="s">
        <v>50</v>
      </c>
      <c r="J492" s="45">
        <v>22000</v>
      </c>
      <c r="K492" s="1">
        <v>10</v>
      </c>
      <c r="L492" s="2">
        <v>15</v>
      </c>
      <c r="M492" s="45">
        <v>187000</v>
      </c>
      <c r="N492" s="45">
        <v>121032</v>
      </c>
      <c r="O492" s="45">
        <v>65968</v>
      </c>
      <c r="P492" s="3">
        <v>35.28</v>
      </c>
      <c r="Q492" s="32" t="s">
        <v>75</v>
      </c>
      <c r="R492" s="32" t="s">
        <v>29</v>
      </c>
      <c r="S492" s="32" t="s">
        <v>30</v>
      </c>
      <c r="T492" s="32" t="s">
        <v>41</v>
      </c>
      <c r="U492" s="38">
        <v>4</v>
      </c>
      <c r="V492" s="9"/>
    </row>
    <row r="493" spans="1:22" x14ac:dyDescent="0.35">
      <c r="A493" s="18" t="s">
        <v>586</v>
      </c>
      <c r="B493" s="8">
        <v>44970</v>
      </c>
      <c r="C493" s="23" t="s">
        <v>90</v>
      </c>
      <c r="D493" s="23" t="s">
        <v>74</v>
      </c>
      <c r="E493" s="23" t="s">
        <v>48</v>
      </c>
      <c r="F493" s="28">
        <v>2023</v>
      </c>
      <c r="G493" s="23" t="s">
        <v>43</v>
      </c>
      <c r="H493" s="23" t="s">
        <v>66</v>
      </c>
      <c r="I493" s="23" t="s">
        <v>38</v>
      </c>
      <c r="J493" s="46">
        <v>11000</v>
      </c>
      <c r="K493" s="4">
        <v>9</v>
      </c>
      <c r="L493" s="5">
        <v>5</v>
      </c>
      <c r="M493" s="46">
        <v>94050</v>
      </c>
      <c r="N493" s="46">
        <v>67457</v>
      </c>
      <c r="O493" s="46">
        <v>26593</v>
      </c>
      <c r="P493" s="6">
        <v>28.28</v>
      </c>
      <c r="Q493" s="33" t="s">
        <v>28</v>
      </c>
      <c r="R493" s="33" t="s">
        <v>29</v>
      </c>
      <c r="S493" s="33" t="s">
        <v>40</v>
      </c>
      <c r="T493" s="33" t="s">
        <v>31</v>
      </c>
      <c r="U493" s="39">
        <v>3</v>
      </c>
      <c r="V493" s="9"/>
    </row>
    <row r="494" spans="1:22" x14ac:dyDescent="0.35">
      <c r="A494" s="17" t="s">
        <v>587</v>
      </c>
      <c r="B494" s="7">
        <v>45377</v>
      </c>
      <c r="C494" s="22" t="s">
        <v>83</v>
      </c>
      <c r="D494" s="22" t="s">
        <v>65</v>
      </c>
      <c r="E494" s="22" t="s">
        <v>48</v>
      </c>
      <c r="F494" s="27">
        <v>2024</v>
      </c>
      <c r="G494" s="22" t="s">
        <v>36</v>
      </c>
      <c r="H494" s="22" t="s">
        <v>62</v>
      </c>
      <c r="I494" s="22" t="s">
        <v>63</v>
      </c>
      <c r="J494" s="45">
        <v>5000</v>
      </c>
      <c r="K494" s="1">
        <v>5</v>
      </c>
      <c r="L494" s="2">
        <v>5</v>
      </c>
      <c r="M494" s="45">
        <v>23750</v>
      </c>
      <c r="N494" s="45">
        <v>13735</v>
      </c>
      <c r="O494" s="45">
        <v>10015</v>
      </c>
      <c r="P494" s="3">
        <v>42.17</v>
      </c>
      <c r="Q494" s="32" t="s">
        <v>81</v>
      </c>
      <c r="R494" s="32" t="s">
        <v>29</v>
      </c>
      <c r="S494" s="32" t="s">
        <v>30</v>
      </c>
      <c r="T494" s="32" t="s">
        <v>41</v>
      </c>
      <c r="U494" s="38">
        <v>4</v>
      </c>
      <c r="V494" s="9"/>
    </row>
    <row r="495" spans="1:22" x14ac:dyDescent="0.35">
      <c r="A495" s="18" t="s">
        <v>588</v>
      </c>
      <c r="B495" s="8">
        <v>45019</v>
      </c>
      <c r="C495" s="23" t="s">
        <v>90</v>
      </c>
      <c r="D495" s="23" t="s">
        <v>34</v>
      </c>
      <c r="E495" s="23" t="s">
        <v>35</v>
      </c>
      <c r="F495" s="28">
        <v>2023</v>
      </c>
      <c r="G495" s="23" t="s">
        <v>25</v>
      </c>
      <c r="H495" s="23" t="s">
        <v>80</v>
      </c>
      <c r="I495" s="23" t="s">
        <v>55</v>
      </c>
      <c r="J495" s="46">
        <v>25000</v>
      </c>
      <c r="K495" s="4">
        <v>3</v>
      </c>
      <c r="L495" s="5">
        <v>20</v>
      </c>
      <c r="M495" s="46">
        <v>60000</v>
      </c>
      <c r="N495" s="46">
        <v>38972</v>
      </c>
      <c r="O495" s="46">
        <v>21028</v>
      </c>
      <c r="P495" s="6">
        <v>35.049999999999997</v>
      </c>
      <c r="Q495" s="33" t="s">
        <v>75</v>
      </c>
      <c r="R495" s="33" t="s">
        <v>56</v>
      </c>
      <c r="S495" s="33" t="s">
        <v>40</v>
      </c>
      <c r="T495" s="33" t="s">
        <v>41</v>
      </c>
      <c r="U495" s="39">
        <v>4</v>
      </c>
      <c r="V495" s="9"/>
    </row>
    <row r="496" spans="1:22" x14ac:dyDescent="0.35">
      <c r="A496" s="17" t="s">
        <v>589</v>
      </c>
      <c r="B496" s="7">
        <v>44952</v>
      </c>
      <c r="C496" s="22" t="s">
        <v>33</v>
      </c>
      <c r="D496" s="22" t="s">
        <v>47</v>
      </c>
      <c r="E496" s="22" t="s">
        <v>48</v>
      </c>
      <c r="F496" s="27">
        <v>2023</v>
      </c>
      <c r="G496" s="22" t="s">
        <v>61</v>
      </c>
      <c r="H496" s="22" t="s">
        <v>113</v>
      </c>
      <c r="I496" s="22" t="s">
        <v>38</v>
      </c>
      <c r="J496" s="45">
        <v>3500</v>
      </c>
      <c r="K496" s="1">
        <v>10</v>
      </c>
      <c r="L496" s="2">
        <v>15</v>
      </c>
      <c r="M496" s="45">
        <v>29750</v>
      </c>
      <c r="N496" s="45">
        <v>20893</v>
      </c>
      <c r="O496" s="45">
        <v>8857</v>
      </c>
      <c r="P496" s="3">
        <v>29.77</v>
      </c>
      <c r="Q496" s="32" t="s">
        <v>51</v>
      </c>
      <c r="R496" s="32" t="s">
        <v>76</v>
      </c>
      <c r="S496" s="32" t="s">
        <v>57</v>
      </c>
      <c r="T496" s="32" t="s">
        <v>31</v>
      </c>
      <c r="U496" s="38">
        <v>1</v>
      </c>
      <c r="V496" s="9"/>
    </row>
    <row r="497" spans="1:22" x14ac:dyDescent="0.35">
      <c r="A497" s="18" t="s">
        <v>590</v>
      </c>
      <c r="B497" s="8">
        <v>45020</v>
      </c>
      <c r="C497" s="23" t="s">
        <v>83</v>
      </c>
      <c r="D497" s="23" t="s">
        <v>34</v>
      </c>
      <c r="E497" s="23" t="s">
        <v>35</v>
      </c>
      <c r="F497" s="28">
        <v>2023</v>
      </c>
      <c r="G497" s="23" t="s">
        <v>36</v>
      </c>
      <c r="H497" s="23" t="s">
        <v>174</v>
      </c>
      <c r="I497" s="23" t="s">
        <v>27</v>
      </c>
      <c r="J497" s="46">
        <v>12000</v>
      </c>
      <c r="K497" s="4">
        <v>6</v>
      </c>
      <c r="L497" s="5">
        <v>0</v>
      </c>
      <c r="M497" s="46">
        <v>72000</v>
      </c>
      <c r="N497" s="46">
        <v>46012</v>
      </c>
      <c r="O497" s="46">
        <v>25988</v>
      </c>
      <c r="P497" s="6">
        <v>36.090000000000003</v>
      </c>
      <c r="Q497" s="33" t="s">
        <v>51</v>
      </c>
      <c r="R497" s="33" t="s">
        <v>29</v>
      </c>
      <c r="S497" s="33" t="s">
        <v>85</v>
      </c>
      <c r="T497" s="33" t="s">
        <v>41</v>
      </c>
      <c r="U497" s="39">
        <v>5</v>
      </c>
      <c r="V497" s="9"/>
    </row>
    <row r="498" spans="1:22" x14ac:dyDescent="0.35">
      <c r="A498" s="17" t="s">
        <v>591</v>
      </c>
      <c r="B498" s="7">
        <v>45316</v>
      </c>
      <c r="C498" s="22" t="s">
        <v>33</v>
      </c>
      <c r="D498" s="22" t="s">
        <v>47</v>
      </c>
      <c r="E498" s="22" t="s">
        <v>48</v>
      </c>
      <c r="F498" s="27">
        <v>2024</v>
      </c>
      <c r="G498" s="22" t="s">
        <v>36</v>
      </c>
      <c r="H498" s="22" t="s">
        <v>44</v>
      </c>
      <c r="I498" s="22" t="s">
        <v>27</v>
      </c>
      <c r="J498" s="45">
        <v>6000</v>
      </c>
      <c r="K498" s="1">
        <v>6</v>
      </c>
      <c r="L498" s="2">
        <v>10</v>
      </c>
      <c r="M498" s="45">
        <v>32400</v>
      </c>
      <c r="N498" s="45">
        <v>22619</v>
      </c>
      <c r="O498" s="45">
        <v>9781</v>
      </c>
      <c r="P498" s="3">
        <v>30.19</v>
      </c>
      <c r="Q498" s="32" t="s">
        <v>39</v>
      </c>
      <c r="R498" s="32" t="s">
        <v>56</v>
      </c>
      <c r="S498" s="32" t="s">
        <v>68</v>
      </c>
      <c r="T498" s="32" t="s">
        <v>31</v>
      </c>
      <c r="U498" s="38">
        <v>4</v>
      </c>
      <c r="V498" s="9"/>
    </row>
    <row r="499" spans="1:22" x14ac:dyDescent="0.35">
      <c r="A499" s="18" t="s">
        <v>592</v>
      </c>
      <c r="B499" s="8">
        <v>45242</v>
      </c>
      <c r="C499" s="23" t="s">
        <v>70</v>
      </c>
      <c r="D499" s="23" t="s">
        <v>110</v>
      </c>
      <c r="E499" s="23" t="s">
        <v>24</v>
      </c>
      <c r="F499" s="28">
        <v>2023</v>
      </c>
      <c r="G499" s="23" t="s">
        <v>61</v>
      </c>
      <c r="H499" s="23" t="s">
        <v>59</v>
      </c>
      <c r="I499" s="23" t="s">
        <v>50</v>
      </c>
      <c r="J499" s="46">
        <v>22000</v>
      </c>
      <c r="K499" s="4">
        <v>5</v>
      </c>
      <c r="L499" s="5">
        <v>15</v>
      </c>
      <c r="M499" s="46">
        <v>93500</v>
      </c>
      <c r="N499" s="46">
        <v>54297</v>
      </c>
      <c r="O499" s="46">
        <v>39203</v>
      </c>
      <c r="P499" s="6">
        <v>41.93</v>
      </c>
      <c r="Q499" s="33" t="s">
        <v>39</v>
      </c>
      <c r="R499" s="33" t="s">
        <v>56</v>
      </c>
      <c r="S499" s="33" t="s">
        <v>30</v>
      </c>
      <c r="T499" s="33" t="s">
        <v>31</v>
      </c>
      <c r="U499" s="39">
        <v>4</v>
      </c>
      <c r="V499" s="9"/>
    </row>
    <row r="500" spans="1:22" x14ac:dyDescent="0.35">
      <c r="A500" s="17" t="s">
        <v>593</v>
      </c>
      <c r="B500" s="7">
        <v>45436</v>
      </c>
      <c r="C500" s="22" t="s">
        <v>78</v>
      </c>
      <c r="D500" s="22" t="s">
        <v>116</v>
      </c>
      <c r="E500" s="22" t="s">
        <v>35</v>
      </c>
      <c r="F500" s="27">
        <v>2024</v>
      </c>
      <c r="G500" s="22" t="s">
        <v>25</v>
      </c>
      <c r="H500" s="22" t="s">
        <v>119</v>
      </c>
      <c r="I500" s="22" t="s">
        <v>63</v>
      </c>
      <c r="J500" s="45">
        <v>16000</v>
      </c>
      <c r="K500" s="1">
        <v>1</v>
      </c>
      <c r="L500" s="2">
        <v>10</v>
      </c>
      <c r="M500" s="45">
        <v>14400</v>
      </c>
      <c r="N500" s="45">
        <v>10081</v>
      </c>
      <c r="O500" s="45">
        <v>4319</v>
      </c>
      <c r="P500" s="3">
        <v>29.99</v>
      </c>
      <c r="Q500" s="32" t="s">
        <v>39</v>
      </c>
      <c r="R500" s="32" t="s">
        <v>56</v>
      </c>
      <c r="S500" s="32" t="s">
        <v>85</v>
      </c>
      <c r="T500" s="32" t="s">
        <v>41</v>
      </c>
      <c r="U500" s="38">
        <v>4</v>
      </c>
      <c r="V500" s="9"/>
    </row>
    <row r="501" spans="1:22" x14ac:dyDescent="0.35">
      <c r="A501" s="18" t="s">
        <v>594</v>
      </c>
      <c r="B501" s="8">
        <v>45379</v>
      </c>
      <c r="C501" s="23" t="s">
        <v>33</v>
      </c>
      <c r="D501" s="23" t="s">
        <v>65</v>
      </c>
      <c r="E501" s="23" t="s">
        <v>48</v>
      </c>
      <c r="F501" s="28">
        <v>2024</v>
      </c>
      <c r="G501" s="23" t="s">
        <v>36</v>
      </c>
      <c r="H501" s="23" t="s">
        <v>101</v>
      </c>
      <c r="I501" s="23" t="s">
        <v>27</v>
      </c>
      <c r="J501" s="46">
        <v>9000</v>
      </c>
      <c r="K501" s="4">
        <v>10</v>
      </c>
      <c r="L501" s="5">
        <v>0</v>
      </c>
      <c r="M501" s="46">
        <v>90000</v>
      </c>
      <c r="N501" s="46">
        <v>53244</v>
      </c>
      <c r="O501" s="46">
        <v>36756</v>
      </c>
      <c r="P501" s="6">
        <v>40.840000000000003</v>
      </c>
      <c r="Q501" s="33" t="s">
        <v>75</v>
      </c>
      <c r="R501" s="33" t="s">
        <v>45</v>
      </c>
      <c r="S501" s="33" t="s">
        <v>85</v>
      </c>
      <c r="T501" s="33" t="s">
        <v>31</v>
      </c>
      <c r="U501" s="39">
        <v>2</v>
      </c>
      <c r="V501" s="9"/>
    </row>
    <row r="502" spans="1:22" x14ac:dyDescent="0.35">
      <c r="A502" s="17" t="s">
        <v>595</v>
      </c>
      <c r="B502" s="7">
        <v>45078</v>
      </c>
      <c r="C502" s="22" t="s">
        <v>33</v>
      </c>
      <c r="D502" s="22" t="s">
        <v>87</v>
      </c>
      <c r="E502" s="22" t="s">
        <v>35</v>
      </c>
      <c r="F502" s="27">
        <v>2023</v>
      </c>
      <c r="G502" s="22" t="s">
        <v>61</v>
      </c>
      <c r="H502" s="22" t="s">
        <v>84</v>
      </c>
      <c r="I502" s="22" t="s">
        <v>27</v>
      </c>
      <c r="J502" s="45">
        <v>8000</v>
      </c>
      <c r="K502" s="1">
        <v>1</v>
      </c>
      <c r="L502" s="2">
        <v>0</v>
      </c>
      <c r="M502" s="45">
        <v>8000</v>
      </c>
      <c r="N502" s="45">
        <v>5561</v>
      </c>
      <c r="O502" s="45">
        <v>2439</v>
      </c>
      <c r="P502" s="3">
        <v>30.49</v>
      </c>
      <c r="Q502" s="32" t="s">
        <v>75</v>
      </c>
      <c r="R502" s="32" t="s">
        <v>29</v>
      </c>
      <c r="S502" s="32" t="s">
        <v>57</v>
      </c>
      <c r="T502" s="32" t="s">
        <v>31</v>
      </c>
      <c r="U502" s="38">
        <v>1</v>
      </c>
      <c r="V502" s="9"/>
    </row>
    <row r="503" spans="1:22" x14ac:dyDescent="0.35">
      <c r="A503" s="18" t="s">
        <v>596</v>
      </c>
      <c r="B503" s="8">
        <v>45038</v>
      </c>
      <c r="C503" s="23" t="s">
        <v>53</v>
      </c>
      <c r="D503" s="23" t="s">
        <v>34</v>
      </c>
      <c r="E503" s="23" t="s">
        <v>35</v>
      </c>
      <c r="F503" s="28">
        <v>2023</v>
      </c>
      <c r="G503" s="23" t="s">
        <v>36</v>
      </c>
      <c r="H503" s="23" t="s">
        <v>131</v>
      </c>
      <c r="I503" s="23" t="s">
        <v>63</v>
      </c>
      <c r="J503" s="46">
        <v>10000</v>
      </c>
      <c r="K503" s="4">
        <v>3</v>
      </c>
      <c r="L503" s="5">
        <v>15</v>
      </c>
      <c r="M503" s="46">
        <v>25500</v>
      </c>
      <c r="N503" s="46">
        <v>15258</v>
      </c>
      <c r="O503" s="46">
        <v>10242</v>
      </c>
      <c r="P503" s="6">
        <v>40.159999999999997</v>
      </c>
      <c r="Q503" s="33" t="s">
        <v>75</v>
      </c>
      <c r="R503" s="33" t="s">
        <v>29</v>
      </c>
      <c r="S503" s="33" t="s">
        <v>85</v>
      </c>
      <c r="T503" s="33" t="s">
        <v>41</v>
      </c>
      <c r="U503" s="39">
        <v>5</v>
      </c>
      <c r="V503" s="9"/>
    </row>
    <row r="504" spans="1:22" x14ac:dyDescent="0.35">
      <c r="A504" s="17" t="s">
        <v>597</v>
      </c>
      <c r="B504" s="7">
        <v>45295</v>
      </c>
      <c r="C504" s="22" t="s">
        <v>33</v>
      </c>
      <c r="D504" s="22" t="s">
        <v>47</v>
      </c>
      <c r="E504" s="22" t="s">
        <v>48</v>
      </c>
      <c r="F504" s="27">
        <v>2024</v>
      </c>
      <c r="G504" s="22" t="s">
        <v>43</v>
      </c>
      <c r="H504" s="22" t="s">
        <v>26</v>
      </c>
      <c r="I504" s="22" t="s">
        <v>27</v>
      </c>
      <c r="J504" s="45">
        <v>5000</v>
      </c>
      <c r="K504" s="1">
        <v>5</v>
      </c>
      <c r="L504" s="2">
        <v>0</v>
      </c>
      <c r="M504" s="45">
        <v>25000</v>
      </c>
      <c r="N504" s="45">
        <v>15316</v>
      </c>
      <c r="O504" s="45">
        <v>9684</v>
      </c>
      <c r="P504" s="3">
        <v>38.74</v>
      </c>
      <c r="Q504" s="32" t="s">
        <v>51</v>
      </c>
      <c r="R504" s="32" t="s">
        <v>76</v>
      </c>
      <c r="S504" s="32" t="s">
        <v>40</v>
      </c>
      <c r="T504" s="32" t="s">
        <v>41</v>
      </c>
      <c r="U504" s="38">
        <v>4</v>
      </c>
      <c r="V504" s="9"/>
    </row>
    <row r="505" spans="1:22" x14ac:dyDescent="0.35">
      <c r="A505" s="18" t="s">
        <v>598</v>
      </c>
      <c r="B505" s="8">
        <v>45064</v>
      </c>
      <c r="C505" s="23" t="s">
        <v>33</v>
      </c>
      <c r="D505" s="23" t="s">
        <v>116</v>
      </c>
      <c r="E505" s="23" t="s">
        <v>35</v>
      </c>
      <c r="F505" s="28">
        <v>2023</v>
      </c>
      <c r="G505" s="23" t="s">
        <v>43</v>
      </c>
      <c r="H505" s="23" t="s">
        <v>84</v>
      </c>
      <c r="I505" s="23" t="s">
        <v>27</v>
      </c>
      <c r="J505" s="46">
        <v>8000</v>
      </c>
      <c r="K505" s="4">
        <v>6</v>
      </c>
      <c r="L505" s="5">
        <v>10</v>
      </c>
      <c r="M505" s="46">
        <v>43200</v>
      </c>
      <c r="N505" s="46">
        <v>26799</v>
      </c>
      <c r="O505" s="46">
        <v>16401</v>
      </c>
      <c r="P505" s="6">
        <v>37.97</v>
      </c>
      <c r="Q505" s="33" t="s">
        <v>39</v>
      </c>
      <c r="R505" s="33" t="s">
        <v>56</v>
      </c>
      <c r="S505" s="33" t="s">
        <v>85</v>
      </c>
      <c r="T505" s="33" t="s">
        <v>31</v>
      </c>
      <c r="U505" s="39">
        <v>5</v>
      </c>
      <c r="V505" s="9"/>
    </row>
    <row r="506" spans="1:22" x14ac:dyDescent="0.35">
      <c r="A506" s="17" t="s">
        <v>599</v>
      </c>
      <c r="B506" s="7">
        <v>45571</v>
      </c>
      <c r="C506" s="22" t="s">
        <v>70</v>
      </c>
      <c r="D506" s="22" t="s">
        <v>23</v>
      </c>
      <c r="E506" s="22" t="s">
        <v>24</v>
      </c>
      <c r="F506" s="27">
        <v>2024</v>
      </c>
      <c r="G506" s="22" t="s">
        <v>61</v>
      </c>
      <c r="H506" s="22" t="s">
        <v>80</v>
      </c>
      <c r="I506" s="22" t="s">
        <v>55</v>
      </c>
      <c r="J506" s="45">
        <v>25000</v>
      </c>
      <c r="K506" s="1">
        <v>8</v>
      </c>
      <c r="L506" s="2">
        <v>15</v>
      </c>
      <c r="M506" s="45">
        <v>170000</v>
      </c>
      <c r="N506" s="45">
        <v>113402</v>
      </c>
      <c r="O506" s="45">
        <v>56598</v>
      </c>
      <c r="P506" s="3">
        <v>33.29</v>
      </c>
      <c r="Q506" s="32" t="s">
        <v>81</v>
      </c>
      <c r="R506" s="32" t="s">
        <v>67</v>
      </c>
      <c r="S506" s="32" t="s">
        <v>85</v>
      </c>
      <c r="T506" s="32" t="s">
        <v>41</v>
      </c>
      <c r="U506" s="38">
        <v>5</v>
      </c>
      <c r="V506" s="9"/>
    </row>
    <row r="507" spans="1:22" x14ac:dyDescent="0.35">
      <c r="A507" s="18" t="s">
        <v>600</v>
      </c>
      <c r="B507" s="8">
        <v>45515</v>
      </c>
      <c r="C507" s="23" t="s">
        <v>70</v>
      </c>
      <c r="D507" s="23" t="s">
        <v>108</v>
      </c>
      <c r="E507" s="23" t="s">
        <v>72</v>
      </c>
      <c r="F507" s="28">
        <v>2024</v>
      </c>
      <c r="G507" s="23" t="s">
        <v>36</v>
      </c>
      <c r="H507" s="23" t="s">
        <v>54</v>
      </c>
      <c r="I507" s="23" t="s">
        <v>55</v>
      </c>
      <c r="J507" s="46">
        <v>18000</v>
      </c>
      <c r="K507" s="4">
        <v>3</v>
      </c>
      <c r="L507" s="5">
        <v>10</v>
      </c>
      <c r="M507" s="46">
        <v>48600</v>
      </c>
      <c r="N507" s="46">
        <v>31378</v>
      </c>
      <c r="O507" s="46">
        <v>17222</v>
      </c>
      <c r="P507" s="6">
        <v>35.44</v>
      </c>
      <c r="Q507" s="33" t="s">
        <v>75</v>
      </c>
      <c r="R507" s="33" t="s">
        <v>67</v>
      </c>
      <c r="S507" s="33" t="s">
        <v>40</v>
      </c>
      <c r="T507" s="33" t="s">
        <v>31</v>
      </c>
      <c r="U507" s="39">
        <v>3</v>
      </c>
      <c r="V507" s="9"/>
    </row>
    <row r="508" spans="1:22" x14ac:dyDescent="0.35">
      <c r="A508" s="17" t="s">
        <v>601</v>
      </c>
      <c r="B508" s="7">
        <v>45125</v>
      </c>
      <c r="C508" s="22" t="s">
        <v>83</v>
      </c>
      <c r="D508" s="22" t="s">
        <v>71</v>
      </c>
      <c r="E508" s="22" t="s">
        <v>72</v>
      </c>
      <c r="F508" s="27">
        <v>2023</v>
      </c>
      <c r="G508" s="22" t="s">
        <v>25</v>
      </c>
      <c r="H508" s="22" t="s">
        <v>26</v>
      </c>
      <c r="I508" s="22" t="s">
        <v>27</v>
      </c>
      <c r="J508" s="45">
        <v>5000</v>
      </c>
      <c r="K508" s="1">
        <v>1</v>
      </c>
      <c r="L508" s="2">
        <v>5</v>
      </c>
      <c r="M508" s="45">
        <v>4750</v>
      </c>
      <c r="N508" s="45">
        <v>3118</v>
      </c>
      <c r="O508" s="45">
        <v>1632</v>
      </c>
      <c r="P508" s="3">
        <v>34.36</v>
      </c>
      <c r="Q508" s="32" t="s">
        <v>28</v>
      </c>
      <c r="R508" s="32" t="s">
        <v>56</v>
      </c>
      <c r="S508" s="32" t="s">
        <v>85</v>
      </c>
      <c r="T508" s="32" t="s">
        <v>41</v>
      </c>
      <c r="U508" s="38">
        <v>1</v>
      </c>
      <c r="V508" s="9"/>
    </row>
    <row r="509" spans="1:22" x14ac:dyDescent="0.35">
      <c r="A509" s="18" t="s">
        <v>602</v>
      </c>
      <c r="B509" s="8">
        <v>45268</v>
      </c>
      <c r="C509" s="23" t="s">
        <v>78</v>
      </c>
      <c r="D509" s="23" t="s">
        <v>97</v>
      </c>
      <c r="E509" s="23" t="s">
        <v>24</v>
      </c>
      <c r="F509" s="28">
        <v>2023</v>
      </c>
      <c r="G509" s="23" t="s">
        <v>61</v>
      </c>
      <c r="H509" s="23" t="s">
        <v>49</v>
      </c>
      <c r="I509" s="23" t="s">
        <v>50</v>
      </c>
      <c r="J509" s="46">
        <v>18000</v>
      </c>
      <c r="K509" s="4">
        <v>4</v>
      </c>
      <c r="L509" s="5">
        <v>0</v>
      </c>
      <c r="M509" s="46">
        <v>72000</v>
      </c>
      <c r="N509" s="46">
        <v>47441</v>
      </c>
      <c r="O509" s="46">
        <v>24559</v>
      </c>
      <c r="P509" s="6">
        <v>34.11</v>
      </c>
      <c r="Q509" s="33" t="s">
        <v>81</v>
      </c>
      <c r="R509" s="33" t="s">
        <v>45</v>
      </c>
      <c r="S509" s="33" t="s">
        <v>30</v>
      </c>
      <c r="T509" s="33" t="s">
        <v>41</v>
      </c>
      <c r="U509" s="39">
        <v>5</v>
      </c>
      <c r="V509" s="9"/>
    </row>
    <row r="510" spans="1:22" x14ac:dyDescent="0.35">
      <c r="A510" s="17" t="s">
        <v>603</v>
      </c>
      <c r="B510" s="7">
        <v>45490</v>
      </c>
      <c r="C510" s="22" t="s">
        <v>22</v>
      </c>
      <c r="D510" s="22" t="s">
        <v>71</v>
      </c>
      <c r="E510" s="22" t="s">
        <v>72</v>
      </c>
      <c r="F510" s="27">
        <v>2024</v>
      </c>
      <c r="G510" s="22" t="s">
        <v>43</v>
      </c>
      <c r="H510" s="22" t="s">
        <v>117</v>
      </c>
      <c r="I510" s="22" t="s">
        <v>50</v>
      </c>
      <c r="J510" s="45">
        <v>8000</v>
      </c>
      <c r="K510" s="1">
        <v>2</v>
      </c>
      <c r="L510" s="2">
        <v>15</v>
      </c>
      <c r="M510" s="45">
        <v>13600</v>
      </c>
      <c r="N510" s="45">
        <v>8251</v>
      </c>
      <c r="O510" s="45">
        <v>5349</v>
      </c>
      <c r="P510" s="3">
        <v>39.33</v>
      </c>
      <c r="Q510" s="32" t="s">
        <v>51</v>
      </c>
      <c r="R510" s="32" t="s">
        <v>29</v>
      </c>
      <c r="S510" s="32" t="s">
        <v>85</v>
      </c>
      <c r="T510" s="32" t="s">
        <v>31</v>
      </c>
      <c r="U510" s="38">
        <v>2</v>
      </c>
      <c r="V510" s="9"/>
    </row>
    <row r="511" spans="1:22" x14ac:dyDescent="0.35">
      <c r="A511" s="18" t="s">
        <v>604</v>
      </c>
      <c r="B511" s="8">
        <v>45265</v>
      </c>
      <c r="C511" s="23" t="s">
        <v>83</v>
      </c>
      <c r="D511" s="23" t="s">
        <v>97</v>
      </c>
      <c r="E511" s="23" t="s">
        <v>24</v>
      </c>
      <c r="F511" s="28">
        <v>2023</v>
      </c>
      <c r="G511" s="23" t="s">
        <v>25</v>
      </c>
      <c r="H511" s="23" t="s">
        <v>59</v>
      </c>
      <c r="I511" s="23" t="s">
        <v>50</v>
      </c>
      <c r="J511" s="46">
        <v>22000</v>
      </c>
      <c r="K511" s="4">
        <v>8</v>
      </c>
      <c r="L511" s="5">
        <v>20</v>
      </c>
      <c r="M511" s="46">
        <v>140800</v>
      </c>
      <c r="N511" s="46">
        <v>78291</v>
      </c>
      <c r="O511" s="46">
        <v>62509</v>
      </c>
      <c r="P511" s="6">
        <v>44.4</v>
      </c>
      <c r="Q511" s="33" t="s">
        <v>39</v>
      </c>
      <c r="R511" s="33" t="s">
        <v>67</v>
      </c>
      <c r="S511" s="33" t="s">
        <v>68</v>
      </c>
      <c r="T511" s="33" t="s">
        <v>41</v>
      </c>
      <c r="U511" s="39">
        <v>4</v>
      </c>
      <c r="V511" s="9"/>
    </row>
    <row r="512" spans="1:22" x14ac:dyDescent="0.35">
      <c r="A512" s="17" t="s">
        <v>605</v>
      </c>
      <c r="B512" s="7">
        <v>45350</v>
      </c>
      <c r="C512" s="22" t="s">
        <v>22</v>
      </c>
      <c r="D512" s="22" t="s">
        <v>74</v>
      </c>
      <c r="E512" s="22" t="s">
        <v>48</v>
      </c>
      <c r="F512" s="27">
        <v>2024</v>
      </c>
      <c r="G512" s="22" t="s">
        <v>43</v>
      </c>
      <c r="H512" s="22" t="s">
        <v>101</v>
      </c>
      <c r="I512" s="22" t="s">
        <v>27</v>
      </c>
      <c r="J512" s="45">
        <v>9000</v>
      </c>
      <c r="K512" s="1">
        <v>5</v>
      </c>
      <c r="L512" s="2">
        <v>10</v>
      </c>
      <c r="M512" s="45">
        <v>40500</v>
      </c>
      <c r="N512" s="45">
        <v>27266</v>
      </c>
      <c r="O512" s="45">
        <v>13234</v>
      </c>
      <c r="P512" s="3">
        <v>32.68</v>
      </c>
      <c r="Q512" s="32" t="s">
        <v>81</v>
      </c>
      <c r="R512" s="32" t="s">
        <v>29</v>
      </c>
      <c r="S512" s="32" t="s">
        <v>85</v>
      </c>
      <c r="T512" s="32" t="s">
        <v>31</v>
      </c>
      <c r="U512" s="38">
        <v>5</v>
      </c>
      <c r="V512" s="9"/>
    </row>
    <row r="513" spans="1:22" x14ac:dyDescent="0.35">
      <c r="A513" s="18" t="s">
        <v>606</v>
      </c>
      <c r="B513" s="8">
        <v>45628</v>
      </c>
      <c r="C513" s="23" t="s">
        <v>90</v>
      </c>
      <c r="D513" s="23" t="s">
        <v>97</v>
      </c>
      <c r="E513" s="23" t="s">
        <v>24</v>
      </c>
      <c r="F513" s="28">
        <v>2024</v>
      </c>
      <c r="G513" s="23" t="s">
        <v>36</v>
      </c>
      <c r="H513" s="23" t="s">
        <v>145</v>
      </c>
      <c r="I513" s="23" t="s">
        <v>50</v>
      </c>
      <c r="J513" s="46">
        <v>12000</v>
      </c>
      <c r="K513" s="4">
        <v>2</v>
      </c>
      <c r="L513" s="5">
        <v>0</v>
      </c>
      <c r="M513" s="46">
        <v>24000</v>
      </c>
      <c r="N513" s="46">
        <v>14344</v>
      </c>
      <c r="O513" s="46">
        <v>9656</v>
      </c>
      <c r="P513" s="6">
        <v>40.229999999999997</v>
      </c>
      <c r="Q513" s="33" t="s">
        <v>28</v>
      </c>
      <c r="R513" s="33" t="s">
        <v>45</v>
      </c>
      <c r="S513" s="33" t="s">
        <v>40</v>
      </c>
      <c r="T513" s="33" t="s">
        <v>41</v>
      </c>
      <c r="U513" s="39">
        <v>2</v>
      </c>
      <c r="V513" s="9"/>
    </row>
    <row r="514" spans="1:22" x14ac:dyDescent="0.35">
      <c r="A514" s="17" t="s">
        <v>607</v>
      </c>
      <c r="B514" s="7">
        <v>45536</v>
      </c>
      <c r="C514" s="22" t="s">
        <v>70</v>
      </c>
      <c r="D514" s="22" t="s">
        <v>79</v>
      </c>
      <c r="E514" s="22" t="s">
        <v>72</v>
      </c>
      <c r="F514" s="27">
        <v>2024</v>
      </c>
      <c r="G514" s="22" t="s">
        <v>36</v>
      </c>
      <c r="H514" s="22" t="s">
        <v>84</v>
      </c>
      <c r="I514" s="22" t="s">
        <v>27</v>
      </c>
      <c r="J514" s="45">
        <v>8000</v>
      </c>
      <c r="K514" s="1">
        <v>6</v>
      </c>
      <c r="L514" s="2">
        <v>15</v>
      </c>
      <c r="M514" s="45">
        <v>40800</v>
      </c>
      <c r="N514" s="45">
        <v>22659</v>
      </c>
      <c r="O514" s="45">
        <v>18141</v>
      </c>
      <c r="P514" s="3">
        <v>44.46</v>
      </c>
      <c r="Q514" s="32" t="s">
        <v>51</v>
      </c>
      <c r="R514" s="32" t="s">
        <v>76</v>
      </c>
      <c r="S514" s="32" t="s">
        <v>40</v>
      </c>
      <c r="T514" s="32" t="s">
        <v>41</v>
      </c>
      <c r="U514" s="38">
        <v>4</v>
      </c>
      <c r="V514" s="9"/>
    </row>
    <row r="515" spans="1:22" x14ac:dyDescent="0.35">
      <c r="A515" s="18" t="s">
        <v>608</v>
      </c>
      <c r="B515" s="8">
        <v>45236</v>
      </c>
      <c r="C515" s="23" t="s">
        <v>90</v>
      </c>
      <c r="D515" s="23" t="s">
        <v>110</v>
      </c>
      <c r="E515" s="23" t="s">
        <v>24</v>
      </c>
      <c r="F515" s="28">
        <v>2023</v>
      </c>
      <c r="G515" s="23" t="s">
        <v>25</v>
      </c>
      <c r="H515" s="23" t="s">
        <v>66</v>
      </c>
      <c r="I515" s="23" t="s">
        <v>38</v>
      </c>
      <c r="J515" s="46">
        <v>11000</v>
      </c>
      <c r="K515" s="4">
        <v>5</v>
      </c>
      <c r="L515" s="5">
        <v>0</v>
      </c>
      <c r="M515" s="46">
        <v>55000</v>
      </c>
      <c r="N515" s="46">
        <v>31299</v>
      </c>
      <c r="O515" s="46">
        <v>23701</v>
      </c>
      <c r="P515" s="6">
        <v>43.09</v>
      </c>
      <c r="Q515" s="33" t="s">
        <v>28</v>
      </c>
      <c r="R515" s="33" t="s">
        <v>56</v>
      </c>
      <c r="S515" s="33" t="s">
        <v>30</v>
      </c>
      <c r="T515" s="33" t="s">
        <v>31</v>
      </c>
      <c r="U515" s="39">
        <v>4</v>
      </c>
      <c r="V515" s="9"/>
    </row>
    <row r="516" spans="1:22" x14ac:dyDescent="0.35">
      <c r="A516" s="17" t="s">
        <v>609</v>
      </c>
      <c r="B516" s="7">
        <v>45439</v>
      </c>
      <c r="C516" s="22" t="s">
        <v>90</v>
      </c>
      <c r="D516" s="22" t="s">
        <v>116</v>
      </c>
      <c r="E516" s="22" t="s">
        <v>35</v>
      </c>
      <c r="F516" s="27">
        <v>2024</v>
      </c>
      <c r="G516" s="22" t="s">
        <v>36</v>
      </c>
      <c r="H516" s="22" t="s">
        <v>37</v>
      </c>
      <c r="I516" s="22" t="s">
        <v>38</v>
      </c>
      <c r="J516" s="45">
        <v>10000</v>
      </c>
      <c r="K516" s="1">
        <v>6</v>
      </c>
      <c r="L516" s="2">
        <v>5</v>
      </c>
      <c r="M516" s="45">
        <v>57000</v>
      </c>
      <c r="N516" s="45">
        <v>38447</v>
      </c>
      <c r="O516" s="45">
        <v>18553</v>
      </c>
      <c r="P516" s="3">
        <v>32.549999999999997</v>
      </c>
      <c r="Q516" s="32" t="s">
        <v>75</v>
      </c>
      <c r="R516" s="32" t="s">
        <v>45</v>
      </c>
      <c r="S516" s="32" t="s">
        <v>57</v>
      </c>
      <c r="T516" s="32" t="s">
        <v>31</v>
      </c>
      <c r="U516" s="38">
        <v>5</v>
      </c>
      <c r="V516" s="9"/>
    </row>
    <row r="517" spans="1:22" x14ac:dyDescent="0.35">
      <c r="A517" s="18" t="s">
        <v>610</v>
      </c>
      <c r="B517" s="8">
        <v>45619</v>
      </c>
      <c r="C517" s="23" t="s">
        <v>53</v>
      </c>
      <c r="D517" s="23" t="s">
        <v>110</v>
      </c>
      <c r="E517" s="23" t="s">
        <v>24</v>
      </c>
      <c r="F517" s="28">
        <v>2024</v>
      </c>
      <c r="G517" s="23" t="s">
        <v>61</v>
      </c>
      <c r="H517" s="23" t="s">
        <v>37</v>
      </c>
      <c r="I517" s="23" t="s">
        <v>38</v>
      </c>
      <c r="J517" s="46">
        <v>10000</v>
      </c>
      <c r="K517" s="4">
        <v>1</v>
      </c>
      <c r="L517" s="5">
        <v>5</v>
      </c>
      <c r="M517" s="46">
        <v>9500</v>
      </c>
      <c r="N517" s="46">
        <v>5851</v>
      </c>
      <c r="O517" s="46">
        <v>3649</v>
      </c>
      <c r="P517" s="6">
        <v>38.409999999999997</v>
      </c>
      <c r="Q517" s="33" t="s">
        <v>75</v>
      </c>
      <c r="R517" s="33" t="s">
        <v>76</v>
      </c>
      <c r="S517" s="33" t="s">
        <v>30</v>
      </c>
      <c r="T517" s="33" t="s">
        <v>31</v>
      </c>
      <c r="U517" s="39">
        <v>5</v>
      </c>
      <c r="V517" s="9"/>
    </row>
    <row r="518" spans="1:22" x14ac:dyDescent="0.35">
      <c r="A518" s="17" t="s">
        <v>611</v>
      </c>
      <c r="B518" s="7">
        <v>45016</v>
      </c>
      <c r="C518" s="22" t="s">
        <v>78</v>
      </c>
      <c r="D518" s="22" t="s">
        <v>65</v>
      </c>
      <c r="E518" s="22" t="s">
        <v>48</v>
      </c>
      <c r="F518" s="27">
        <v>2023</v>
      </c>
      <c r="G518" s="22" t="s">
        <v>61</v>
      </c>
      <c r="H518" s="22" t="s">
        <v>59</v>
      </c>
      <c r="I518" s="22" t="s">
        <v>50</v>
      </c>
      <c r="J518" s="45">
        <v>22000</v>
      </c>
      <c r="K518" s="1">
        <v>1</v>
      </c>
      <c r="L518" s="2">
        <v>0</v>
      </c>
      <c r="M518" s="45">
        <v>22000</v>
      </c>
      <c r="N518" s="45">
        <v>14047</v>
      </c>
      <c r="O518" s="45">
        <v>7953</v>
      </c>
      <c r="P518" s="3">
        <v>36.15</v>
      </c>
      <c r="Q518" s="32" t="s">
        <v>81</v>
      </c>
      <c r="R518" s="32" t="s">
        <v>76</v>
      </c>
      <c r="S518" s="32" t="s">
        <v>85</v>
      </c>
      <c r="T518" s="32" t="s">
        <v>31</v>
      </c>
      <c r="U518" s="38">
        <v>3</v>
      </c>
      <c r="V518" s="9"/>
    </row>
    <row r="519" spans="1:22" x14ac:dyDescent="0.35">
      <c r="A519" s="18" t="s">
        <v>612</v>
      </c>
      <c r="B519" s="8">
        <v>45132</v>
      </c>
      <c r="C519" s="23" t="s">
        <v>83</v>
      </c>
      <c r="D519" s="23" t="s">
        <v>71</v>
      </c>
      <c r="E519" s="23" t="s">
        <v>72</v>
      </c>
      <c r="F519" s="28">
        <v>2023</v>
      </c>
      <c r="G519" s="23" t="s">
        <v>36</v>
      </c>
      <c r="H519" s="23" t="s">
        <v>123</v>
      </c>
      <c r="I519" s="23" t="s">
        <v>38</v>
      </c>
      <c r="J519" s="46">
        <v>14000</v>
      </c>
      <c r="K519" s="4">
        <v>5</v>
      </c>
      <c r="L519" s="5">
        <v>10</v>
      </c>
      <c r="M519" s="46">
        <v>63000</v>
      </c>
      <c r="N519" s="46">
        <v>38068</v>
      </c>
      <c r="O519" s="46">
        <v>24932</v>
      </c>
      <c r="P519" s="6">
        <v>39.57</v>
      </c>
      <c r="Q519" s="33" t="s">
        <v>51</v>
      </c>
      <c r="R519" s="33" t="s">
        <v>76</v>
      </c>
      <c r="S519" s="33" t="s">
        <v>57</v>
      </c>
      <c r="T519" s="33" t="s">
        <v>31</v>
      </c>
      <c r="U519" s="39">
        <v>3</v>
      </c>
      <c r="V519" s="9"/>
    </row>
    <row r="520" spans="1:22" x14ac:dyDescent="0.35">
      <c r="A520" s="17" t="s">
        <v>613</v>
      </c>
      <c r="B520" s="7">
        <v>45044</v>
      </c>
      <c r="C520" s="22" t="s">
        <v>78</v>
      </c>
      <c r="D520" s="22" t="s">
        <v>34</v>
      </c>
      <c r="E520" s="22" t="s">
        <v>35</v>
      </c>
      <c r="F520" s="27">
        <v>2023</v>
      </c>
      <c r="G520" s="22" t="s">
        <v>61</v>
      </c>
      <c r="H520" s="22" t="s">
        <v>101</v>
      </c>
      <c r="I520" s="22" t="s">
        <v>27</v>
      </c>
      <c r="J520" s="45">
        <v>9000</v>
      </c>
      <c r="K520" s="1">
        <v>9</v>
      </c>
      <c r="L520" s="2">
        <v>10</v>
      </c>
      <c r="M520" s="45">
        <v>72900</v>
      </c>
      <c r="N520" s="45">
        <v>41364</v>
      </c>
      <c r="O520" s="45">
        <v>31536</v>
      </c>
      <c r="P520" s="3">
        <v>43.26</v>
      </c>
      <c r="Q520" s="32" t="s">
        <v>75</v>
      </c>
      <c r="R520" s="32" t="s">
        <v>45</v>
      </c>
      <c r="S520" s="32" t="s">
        <v>85</v>
      </c>
      <c r="T520" s="32" t="s">
        <v>41</v>
      </c>
      <c r="U520" s="38">
        <v>2</v>
      </c>
      <c r="V520" s="9"/>
    </row>
    <row r="521" spans="1:22" x14ac:dyDescent="0.35">
      <c r="A521" s="18" t="s">
        <v>614</v>
      </c>
      <c r="B521" s="8">
        <v>45648</v>
      </c>
      <c r="C521" s="23" t="s">
        <v>70</v>
      </c>
      <c r="D521" s="23" t="s">
        <v>97</v>
      </c>
      <c r="E521" s="23" t="s">
        <v>24</v>
      </c>
      <c r="F521" s="28">
        <v>2024</v>
      </c>
      <c r="G521" s="23" t="s">
        <v>25</v>
      </c>
      <c r="H521" s="23" t="s">
        <v>49</v>
      </c>
      <c r="I521" s="23" t="s">
        <v>50</v>
      </c>
      <c r="J521" s="46">
        <v>18000</v>
      </c>
      <c r="K521" s="4">
        <v>4</v>
      </c>
      <c r="L521" s="5">
        <v>0</v>
      </c>
      <c r="M521" s="46">
        <v>72000</v>
      </c>
      <c r="N521" s="46">
        <v>40472</v>
      </c>
      <c r="O521" s="46">
        <v>31528</v>
      </c>
      <c r="P521" s="6">
        <v>43.79</v>
      </c>
      <c r="Q521" s="33" t="s">
        <v>75</v>
      </c>
      <c r="R521" s="33" t="s">
        <v>45</v>
      </c>
      <c r="S521" s="33" t="s">
        <v>85</v>
      </c>
      <c r="T521" s="33" t="s">
        <v>31</v>
      </c>
      <c r="U521" s="39">
        <v>2</v>
      </c>
      <c r="V521" s="9"/>
    </row>
    <row r="522" spans="1:22" x14ac:dyDescent="0.35">
      <c r="A522" s="17" t="s">
        <v>615</v>
      </c>
      <c r="B522" s="7">
        <v>44956</v>
      </c>
      <c r="C522" s="22" t="s">
        <v>90</v>
      </c>
      <c r="D522" s="22" t="s">
        <v>47</v>
      </c>
      <c r="E522" s="22" t="s">
        <v>48</v>
      </c>
      <c r="F522" s="27">
        <v>2023</v>
      </c>
      <c r="G522" s="22" t="s">
        <v>25</v>
      </c>
      <c r="H522" s="22" t="s">
        <v>93</v>
      </c>
      <c r="I522" s="22" t="s">
        <v>63</v>
      </c>
      <c r="J522" s="45">
        <v>14000</v>
      </c>
      <c r="K522" s="1">
        <v>2</v>
      </c>
      <c r="L522" s="2">
        <v>5</v>
      </c>
      <c r="M522" s="45">
        <v>26600</v>
      </c>
      <c r="N522" s="45">
        <v>14873</v>
      </c>
      <c r="O522" s="45">
        <v>11727</v>
      </c>
      <c r="P522" s="3">
        <v>44.09</v>
      </c>
      <c r="Q522" s="32" t="s">
        <v>51</v>
      </c>
      <c r="R522" s="32" t="s">
        <v>67</v>
      </c>
      <c r="S522" s="32" t="s">
        <v>68</v>
      </c>
      <c r="T522" s="32" t="s">
        <v>41</v>
      </c>
      <c r="U522" s="38">
        <v>3</v>
      </c>
      <c r="V522" s="9"/>
    </row>
    <row r="523" spans="1:22" x14ac:dyDescent="0.35">
      <c r="A523" s="18" t="s">
        <v>616</v>
      </c>
      <c r="B523" s="8">
        <v>45267</v>
      </c>
      <c r="C523" s="23" t="s">
        <v>33</v>
      </c>
      <c r="D523" s="23" t="s">
        <v>97</v>
      </c>
      <c r="E523" s="23" t="s">
        <v>24</v>
      </c>
      <c r="F523" s="28">
        <v>2023</v>
      </c>
      <c r="G523" s="23" t="s">
        <v>25</v>
      </c>
      <c r="H523" s="23" t="s">
        <v>66</v>
      </c>
      <c r="I523" s="23" t="s">
        <v>38</v>
      </c>
      <c r="J523" s="46">
        <v>11000</v>
      </c>
      <c r="K523" s="4">
        <v>2</v>
      </c>
      <c r="L523" s="5">
        <v>20</v>
      </c>
      <c r="M523" s="46">
        <v>17600</v>
      </c>
      <c r="N523" s="46">
        <v>11967</v>
      </c>
      <c r="O523" s="46">
        <v>5633</v>
      </c>
      <c r="P523" s="6">
        <v>32.01</v>
      </c>
      <c r="Q523" s="33" t="s">
        <v>75</v>
      </c>
      <c r="R523" s="33" t="s">
        <v>56</v>
      </c>
      <c r="S523" s="33" t="s">
        <v>30</v>
      </c>
      <c r="T523" s="33" t="s">
        <v>31</v>
      </c>
      <c r="U523" s="39">
        <v>4</v>
      </c>
      <c r="V523" s="9"/>
    </row>
    <row r="524" spans="1:22" x14ac:dyDescent="0.35">
      <c r="A524" s="17" t="s">
        <v>617</v>
      </c>
      <c r="B524" s="7">
        <v>45244</v>
      </c>
      <c r="C524" s="22" t="s">
        <v>83</v>
      </c>
      <c r="D524" s="22" t="s">
        <v>110</v>
      </c>
      <c r="E524" s="22" t="s">
        <v>24</v>
      </c>
      <c r="F524" s="27">
        <v>2023</v>
      </c>
      <c r="G524" s="22" t="s">
        <v>25</v>
      </c>
      <c r="H524" s="22" t="s">
        <v>98</v>
      </c>
      <c r="I524" s="22" t="s">
        <v>63</v>
      </c>
      <c r="J524" s="45">
        <v>28000</v>
      </c>
      <c r="K524" s="1">
        <v>4</v>
      </c>
      <c r="L524" s="2">
        <v>0</v>
      </c>
      <c r="M524" s="45">
        <v>112000</v>
      </c>
      <c r="N524" s="45">
        <v>64336</v>
      </c>
      <c r="O524" s="45">
        <v>47664</v>
      </c>
      <c r="P524" s="3">
        <v>42.56</v>
      </c>
      <c r="Q524" s="32" t="s">
        <v>75</v>
      </c>
      <c r="R524" s="32" t="s">
        <v>45</v>
      </c>
      <c r="S524" s="32" t="s">
        <v>57</v>
      </c>
      <c r="T524" s="32" t="s">
        <v>31</v>
      </c>
      <c r="U524" s="38">
        <v>3</v>
      </c>
      <c r="V524" s="9"/>
    </row>
    <row r="525" spans="1:22" x14ac:dyDescent="0.35">
      <c r="A525" s="18" t="s">
        <v>618</v>
      </c>
      <c r="B525" s="8">
        <v>45259</v>
      </c>
      <c r="C525" s="23" t="s">
        <v>22</v>
      </c>
      <c r="D525" s="23" t="s">
        <v>110</v>
      </c>
      <c r="E525" s="23" t="s">
        <v>24</v>
      </c>
      <c r="F525" s="28">
        <v>2023</v>
      </c>
      <c r="G525" s="23" t="s">
        <v>36</v>
      </c>
      <c r="H525" s="23" t="s">
        <v>98</v>
      </c>
      <c r="I525" s="23" t="s">
        <v>63</v>
      </c>
      <c r="J525" s="46">
        <v>28000</v>
      </c>
      <c r="K525" s="4">
        <v>1</v>
      </c>
      <c r="L525" s="5">
        <v>0</v>
      </c>
      <c r="M525" s="46">
        <v>28000</v>
      </c>
      <c r="N525" s="46">
        <v>17663</v>
      </c>
      <c r="O525" s="46">
        <v>10337</v>
      </c>
      <c r="P525" s="6">
        <v>36.92</v>
      </c>
      <c r="Q525" s="33" t="s">
        <v>81</v>
      </c>
      <c r="R525" s="33" t="s">
        <v>67</v>
      </c>
      <c r="S525" s="33" t="s">
        <v>40</v>
      </c>
      <c r="T525" s="33" t="s">
        <v>41</v>
      </c>
      <c r="U525" s="39">
        <v>3</v>
      </c>
      <c r="V525" s="9"/>
    </row>
    <row r="526" spans="1:22" x14ac:dyDescent="0.35">
      <c r="A526" s="17" t="s">
        <v>619</v>
      </c>
      <c r="B526" s="7">
        <v>45545</v>
      </c>
      <c r="C526" s="22" t="s">
        <v>83</v>
      </c>
      <c r="D526" s="22" t="s">
        <v>79</v>
      </c>
      <c r="E526" s="22" t="s">
        <v>72</v>
      </c>
      <c r="F526" s="27">
        <v>2024</v>
      </c>
      <c r="G526" s="22" t="s">
        <v>43</v>
      </c>
      <c r="H526" s="22" t="s">
        <v>186</v>
      </c>
      <c r="I526" s="22" t="s">
        <v>55</v>
      </c>
      <c r="J526" s="45">
        <v>20000</v>
      </c>
      <c r="K526" s="1">
        <v>9</v>
      </c>
      <c r="L526" s="2">
        <v>0</v>
      </c>
      <c r="M526" s="45">
        <v>180000</v>
      </c>
      <c r="N526" s="45">
        <v>111414</v>
      </c>
      <c r="O526" s="45">
        <v>68586</v>
      </c>
      <c r="P526" s="3">
        <v>38.1</v>
      </c>
      <c r="Q526" s="32" t="s">
        <v>28</v>
      </c>
      <c r="R526" s="32" t="s">
        <v>45</v>
      </c>
      <c r="S526" s="32" t="s">
        <v>85</v>
      </c>
      <c r="T526" s="32" t="s">
        <v>41</v>
      </c>
      <c r="U526" s="38">
        <v>5</v>
      </c>
      <c r="V526" s="9"/>
    </row>
    <row r="527" spans="1:22" x14ac:dyDescent="0.35">
      <c r="A527" s="18" t="s">
        <v>620</v>
      </c>
      <c r="B527" s="8">
        <v>45399</v>
      </c>
      <c r="C527" s="23" t="s">
        <v>22</v>
      </c>
      <c r="D527" s="23" t="s">
        <v>34</v>
      </c>
      <c r="E527" s="23" t="s">
        <v>35</v>
      </c>
      <c r="F527" s="28">
        <v>2024</v>
      </c>
      <c r="G527" s="23" t="s">
        <v>25</v>
      </c>
      <c r="H527" s="23" t="s">
        <v>119</v>
      </c>
      <c r="I527" s="23" t="s">
        <v>63</v>
      </c>
      <c r="J527" s="46">
        <v>16000</v>
      </c>
      <c r="K527" s="4">
        <v>7</v>
      </c>
      <c r="L527" s="5">
        <v>0</v>
      </c>
      <c r="M527" s="46">
        <v>112000</v>
      </c>
      <c r="N527" s="46">
        <v>73421</v>
      </c>
      <c r="O527" s="46">
        <v>38579</v>
      </c>
      <c r="P527" s="6">
        <v>34.450000000000003</v>
      </c>
      <c r="Q527" s="33" t="s">
        <v>75</v>
      </c>
      <c r="R527" s="33" t="s">
        <v>56</v>
      </c>
      <c r="S527" s="33" t="s">
        <v>40</v>
      </c>
      <c r="T527" s="33" t="s">
        <v>31</v>
      </c>
      <c r="U527" s="39">
        <v>3</v>
      </c>
      <c r="V527" s="9"/>
    </row>
    <row r="528" spans="1:22" x14ac:dyDescent="0.35">
      <c r="A528" s="17" t="s">
        <v>621</v>
      </c>
      <c r="B528" s="7">
        <v>45140</v>
      </c>
      <c r="C528" s="22" t="s">
        <v>22</v>
      </c>
      <c r="D528" s="22" t="s">
        <v>108</v>
      </c>
      <c r="E528" s="22" t="s">
        <v>72</v>
      </c>
      <c r="F528" s="27">
        <v>2023</v>
      </c>
      <c r="G528" s="22" t="s">
        <v>43</v>
      </c>
      <c r="H528" s="22" t="s">
        <v>126</v>
      </c>
      <c r="I528" s="22" t="s">
        <v>55</v>
      </c>
      <c r="J528" s="45">
        <v>12000</v>
      </c>
      <c r="K528" s="1">
        <v>7</v>
      </c>
      <c r="L528" s="2">
        <v>10</v>
      </c>
      <c r="M528" s="45">
        <v>75600</v>
      </c>
      <c r="N528" s="45">
        <v>51699</v>
      </c>
      <c r="O528" s="45">
        <v>23901</v>
      </c>
      <c r="P528" s="3">
        <v>31.62</v>
      </c>
      <c r="Q528" s="32" t="s">
        <v>75</v>
      </c>
      <c r="R528" s="32" t="s">
        <v>56</v>
      </c>
      <c r="S528" s="32" t="s">
        <v>68</v>
      </c>
      <c r="T528" s="32" t="s">
        <v>41</v>
      </c>
      <c r="U528" s="38">
        <v>1</v>
      </c>
      <c r="V528" s="9"/>
    </row>
    <row r="529" spans="1:22" x14ac:dyDescent="0.35">
      <c r="A529" s="18" t="s">
        <v>622</v>
      </c>
      <c r="B529" s="8">
        <v>45533</v>
      </c>
      <c r="C529" s="23" t="s">
        <v>33</v>
      </c>
      <c r="D529" s="23" t="s">
        <v>108</v>
      </c>
      <c r="E529" s="23" t="s">
        <v>72</v>
      </c>
      <c r="F529" s="28">
        <v>2024</v>
      </c>
      <c r="G529" s="23" t="s">
        <v>25</v>
      </c>
      <c r="H529" s="23" t="s">
        <v>126</v>
      </c>
      <c r="I529" s="23" t="s">
        <v>55</v>
      </c>
      <c r="J529" s="46">
        <v>12000</v>
      </c>
      <c r="K529" s="4">
        <v>6</v>
      </c>
      <c r="L529" s="5">
        <v>10</v>
      </c>
      <c r="M529" s="46">
        <v>64800</v>
      </c>
      <c r="N529" s="46">
        <v>36716</v>
      </c>
      <c r="O529" s="46">
        <v>28084</v>
      </c>
      <c r="P529" s="6">
        <v>43.34</v>
      </c>
      <c r="Q529" s="33" t="s">
        <v>51</v>
      </c>
      <c r="R529" s="33" t="s">
        <v>56</v>
      </c>
      <c r="S529" s="33" t="s">
        <v>57</v>
      </c>
      <c r="T529" s="33" t="s">
        <v>31</v>
      </c>
      <c r="U529" s="39">
        <v>5</v>
      </c>
      <c r="V529" s="9"/>
    </row>
    <row r="530" spans="1:22" x14ac:dyDescent="0.35">
      <c r="A530" s="17" t="s">
        <v>623</v>
      </c>
      <c r="B530" s="7">
        <v>45038</v>
      </c>
      <c r="C530" s="22" t="s">
        <v>53</v>
      </c>
      <c r="D530" s="22" t="s">
        <v>34</v>
      </c>
      <c r="E530" s="22" t="s">
        <v>35</v>
      </c>
      <c r="F530" s="27">
        <v>2023</v>
      </c>
      <c r="G530" s="22" t="s">
        <v>36</v>
      </c>
      <c r="H530" s="22" t="s">
        <v>126</v>
      </c>
      <c r="I530" s="22" t="s">
        <v>55</v>
      </c>
      <c r="J530" s="45">
        <v>12000</v>
      </c>
      <c r="K530" s="1">
        <v>6</v>
      </c>
      <c r="L530" s="2">
        <v>5</v>
      </c>
      <c r="M530" s="45">
        <v>68400</v>
      </c>
      <c r="N530" s="45">
        <v>45120</v>
      </c>
      <c r="O530" s="45">
        <v>23280</v>
      </c>
      <c r="P530" s="3">
        <v>34.04</v>
      </c>
      <c r="Q530" s="32" t="s">
        <v>28</v>
      </c>
      <c r="R530" s="32" t="s">
        <v>76</v>
      </c>
      <c r="S530" s="32" t="s">
        <v>68</v>
      </c>
      <c r="T530" s="32" t="s">
        <v>31</v>
      </c>
      <c r="U530" s="38">
        <v>2</v>
      </c>
      <c r="V530" s="9"/>
    </row>
    <row r="531" spans="1:22" x14ac:dyDescent="0.35">
      <c r="A531" s="18" t="s">
        <v>624</v>
      </c>
      <c r="B531" s="8">
        <v>45603</v>
      </c>
      <c r="C531" s="23" t="s">
        <v>33</v>
      </c>
      <c r="D531" s="23" t="s">
        <v>110</v>
      </c>
      <c r="E531" s="23" t="s">
        <v>24</v>
      </c>
      <c r="F531" s="28">
        <v>2024</v>
      </c>
      <c r="G531" s="23" t="s">
        <v>36</v>
      </c>
      <c r="H531" s="23" t="s">
        <v>113</v>
      </c>
      <c r="I531" s="23" t="s">
        <v>38</v>
      </c>
      <c r="J531" s="46">
        <v>3500</v>
      </c>
      <c r="K531" s="4">
        <v>9</v>
      </c>
      <c r="L531" s="5">
        <v>0</v>
      </c>
      <c r="M531" s="46">
        <v>31500</v>
      </c>
      <c r="N531" s="46">
        <v>19413</v>
      </c>
      <c r="O531" s="46">
        <v>12087</v>
      </c>
      <c r="P531" s="6">
        <v>38.369999999999997</v>
      </c>
      <c r="Q531" s="33" t="s">
        <v>75</v>
      </c>
      <c r="R531" s="33" t="s">
        <v>67</v>
      </c>
      <c r="S531" s="33" t="s">
        <v>68</v>
      </c>
      <c r="T531" s="33" t="s">
        <v>41</v>
      </c>
      <c r="U531" s="39">
        <v>3</v>
      </c>
      <c r="V531" s="9"/>
    </row>
    <row r="532" spans="1:22" x14ac:dyDescent="0.35">
      <c r="A532" s="17" t="s">
        <v>625</v>
      </c>
      <c r="B532" s="7">
        <v>45510</v>
      </c>
      <c r="C532" s="22" t="s">
        <v>83</v>
      </c>
      <c r="D532" s="22" t="s">
        <v>108</v>
      </c>
      <c r="E532" s="22" t="s">
        <v>72</v>
      </c>
      <c r="F532" s="27">
        <v>2024</v>
      </c>
      <c r="G532" s="22" t="s">
        <v>36</v>
      </c>
      <c r="H532" s="22" t="s">
        <v>59</v>
      </c>
      <c r="I532" s="22" t="s">
        <v>50</v>
      </c>
      <c r="J532" s="45">
        <v>22000</v>
      </c>
      <c r="K532" s="1">
        <v>6</v>
      </c>
      <c r="L532" s="2">
        <v>0</v>
      </c>
      <c r="M532" s="45">
        <v>132000</v>
      </c>
      <c r="N532" s="45">
        <v>85676</v>
      </c>
      <c r="O532" s="45">
        <v>46324</v>
      </c>
      <c r="P532" s="3">
        <v>35.090000000000003</v>
      </c>
      <c r="Q532" s="32" t="s">
        <v>75</v>
      </c>
      <c r="R532" s="32" t="s">
        <v>29</v>
      </c>
      <c r="S532" s="32" t="s">
        <v>40</v>
      </c>
      <c r="T532" s="32" t="s">
        <v>41</v>
      </c>
      <c r="U532" s="38">
        <v>1</v>
      </c>
      <c r="V532" s="9"/>
    </row>
    <row r="533" spans="1:22" x14ac:dyDescent="0.35">
      <c r="A533" s="18" t="s">
        <v>626</v>
      </c>
      <c r="B533" s="8">
        <v>45305</v>
      </c>
      <c r="C533" s="23" t="s">
        <v>70</v>
      </c>
      <c r="D533" s="23" t="s">
        <v>47</v>
      </c>
      <c r="E533" s="23" t="s">
        <v>48</v>
      </c>
      <c r="F533" s="28">
        <v>2024</v>
      </c>
      <c r="G533" s="23" t="s">
        <v>43</v>
      </c>
      <c r="H533" s="23" t="s">
        <v>80</v>
      </c>
      <c r="I533" s="23" t="s">
        <v>55</v>
      </c>
      <c r="J533" s="46">
        <v>25000</v>
      </c>
      <c r="K533" s="4">
        <v>1</v>
      </c>
      <c r="L533" s="5">
        <v>15</v>
      </c>
      <c r="M533" s="46">
        <v>21250</v>
      </c>
      <c r="N533" s="46">
        <v>13711</v>
      </c>
      <c r="O533" s="46">
        <v>7539</v>
      </c>
      <c r="P533" s="6">
        <v>35.479999999999997</v>
      </c>
      <c r="Q533" s="33" t="s">
        <v>81</v>
      </c>
      <c r="R533" s="33" t="s">
        <v>76</v>
      </c>
      <c r="S533" s="33" t="s">
        <v>57</v>
      </c>
      <c r="T533" s="33" t="s">
        <v>31</v>
      </c>
      <c r="U533" s="39">
        <v>4</v>
      </c>
      <c r="V533" s="9"/>
    </row>
    <row r="534" spans="1:22" x14ac:dyDescent="0.35">
      <c r="A534" s="17" t="s">
        <v>627</v>
      </c>
      <c r="B534" s="7">
        <v>45646</v>
      </c>
      <c r="C534" s="22" t="s">
        <v>78</v>
      </c>
      <c r="D534" s="22" t="s">
        <v>97</v>
      </c>
      <c r="E534" s="22" t="s">
        <v>24</v>
      </c>
      <c r="F534" s="27">
        <v>2024</v>
      </c>
      <c r="G534" s="22" t="s">
        <v>36</v>
      </c>
      <c r="H534" s="22" t="s">
        <v>126</v>
      </c>
      <c r="I534" s="22" t="s">
        <v>55</v>
      </c>
      <c r="J534" s="45">
        <v>12000</v>
      </c>
      <c r="K534" s="1">
        <v>6</v>
      </c>
      <c r="L534" s="2">
        <v>15</v>
      </c>
      <c r="M534" s="45">
        <v>61200</v>
      </c>
      <c r="N534" s="45">
        <v>37643</v>
      </c>
      <c r="O534" s="45">
        <v>23557</v>
      </c>
      <c r="P534" s="3">
        <v>38.49</v>
      </c>
      <c r="Q534" s="32" t="s">
        <v>51</v>
      </c>
      <c r="R534" s="32" t="s">
        <v>67</v>
      </c>
      <c r="S534" s="32" t="s">
        <v>85</v>
      </c>
      <c r="T534" s="32" t="s">
        <v>31</v>
      </c>
      <c r="U534" s="38">
        <v>4</v>
      </c>
      <c r="V534" s="9"/>
    </row>
    <row r="535" spans="1:22" x14ac:dyDescent="0.35">
      <c r="A535" s="18" t="s">
        <v>628</v>
      </c>
      <c r="B535" s="8">
        <v>45069</v>
      </c>
      <c r="C535" s="23" t="s">
        <v>83</v>
      </c>
      <c r="D535" s="23" t="s">
        <v>116</v>
      </c>
      <c r="E535" s="23" t="s">
        <v>35</v>
      </c>
      <c r="F535" s="28">
        <v>2023</v>
      </c>
      <c r="G535" s="23" t="s">
        <v>36</v>
      </c>
      <c r="H535" s="23" t="s">
        <v>66</v>
      </c>
      <c r="I535" s="23" t="s">
        <v>38</v>
      </c>
      <c r="J535" s="46">
        <v>11000</v>
      </c>
      <c r="K535" s="4">
        <v>7</v>
      </c>
      <c r="L535" s="5">
        <v>20</v>
      </c>
      <c r="M535" s="46">
        <v>61600</v>
      </c>
      <c r="N535" s="46">
        <v>43561</v>
      </c>
      <c r="O535" s="46">
        <v>18039</v>
      </c>
      <c r="P535" s="6">
        <v>29.28</v>
      </c>
      <c r="Q535" s="33" t="s">
        <v>51</v>
      </c>
      <c r="R535" s="33" t="s">
        <v>56</v>
      </c>
      <c r="S535" s="33" t="s">
        <v>57</v>
      </c>
      <c r="T535" s="33" t="s">
        <v>31</v>
      </c>
      <c r="U535" s="39">
        <v>1</v>
      </c>
      <c r="V535" s="9"/>
    </row>
    <row r="536" spans="1:22" x14ac:dyDescent="0.35">
      <c r="A536" s="17" t="s">
        <v>629</v>
      </c>
      <c r="B536" s="7">
        <v>45000</v>
      </c>
      <c r="C536" s="22" t="s">
        <v>22</v>
      </c>
      <c r="D536" s="22" t="s">
        <v>65</v>
      </c>
      <c r="E536" s="22" t="s">
        <v>48</v>
      </c>
      <c r="F536" s="27">
        <v>2023</v>
      </c>
      <c r="G536" s="22" t="s">
        <v>25</v>
      </c>
      <c r="H536" s="22" t="s">
        <v>44</v>
      </c>
      <c r="I536" s="22" t="s">
        <v>27</v>
      </c>
      <c r="J536" s="45">
        <v>6000</v>
      </c>
      <c r="K536" s="1">
        <v>8</v>
      </c>
      <c r="L536" s="2">
        <v>15</v>
      </c>
      <c r="M536" s="45">
        <v>40800</v>
      </c>
      <c r="N536" s="45">
        <v>25469</v>
      </c>
      <c r="O536" s="45">
        <v>15331</v>
      </c>
      <c r="P536" s="3">
        <v>37.58</v>
      </c>
      <c r="Q536" s="32" t="s">
        <v>39</v>
      </c>
      <c r="R536" s="32" t="s">
        <v>76</v>
      </c>
      <c r="S536" s="32" t="s">
        <v>68</v>
      </c>
      <c r="T536" s="32" t="s">
        <v>41</v>
      </c>
      <c r="U536" s="38">
        <v>5</v>
      </c>
      <c r="V536" s="9"/>
    </row>
    <row r="537" spans="1:22" x14ac:dyDescent="0.35">
      <c r="A537" s="18" t="s">
        <v>630</v>
      </c>
      <c r="B537" s="8">
        <v>45362</v>
      </c>
      <c r="C537" s="23" t="s">
        <v>90</v>
      </c>
      <c r="D537" s="23" t="s">
        <v>65</v>
      </c>
      <c r="E537" s="23" t="s">
        <v>48</v>
      </c>
      <c r="F537" s="28">
        <v>2024</v>
      </c>
      <c r="G537" s="23" t="s">
        <v>36</v>
      </c>
      <c r="H537" s="23" t="s">
        <v>186</v>
      </c>
      <c r="I537" s="23" t="s">
        <v>55</v>
      </c>
      <c r="J537" s="46">
        <v>20000</v>
      </c>
      <c r="K537" s="4">
        <v>8</v>
      </c>
      <c r="L537" s="5">
        <v>10</v>
      </c>
      <c r="M537" s="46">
        <v>144000</v>
      </c>
      <c r="N537" s="46">
        <v>89583</v>
      </c>
      <c r="O537" s="46">
        <v>54417</v>
      </c>
      <c r="P537" s="6">
        <v>37.79</v>
      </c>
      <c r="Q537" s="33" t="s">
        <v>51</v>
      </c>
      <c r="R537" s="33" t="s">
        <v>67</v>
      </c>
      <c r="S537" s="33" t="s">
        <v>57</v>
      </c>
      <c r="T537" s="33" t="s">
        <v>31</v>
      </c>
      <c r="U537" s="39">
        <v>4</v>
      </c>
      <c r="V537" s="9"/>
    </row>
    <row r="538" spans="1:22" x14ac:dyDescent="0.35">
      <c r="A538" s="17" t="s">
        <v>631</v>
      </c>
      <c r="B538" s="7">
        <v>45546</v>
      </c>
      <c r="C538" s="22" t="s">
        <v>22</v>
      </c>
      <c r="D538" s="22" t="s">
        <v>79</v>
      </c>
      <c r="E538" s="22" t="s">
        <v>72</v>
      </c>
      <c r="F538" s="27">
        <v>2024</v>
      </c>
      <c r="G538" s="22" t="s">
        <v>61</v>
      </c>
      <c r="H538" s="22" t="s">
        <v>101</v>
      </c>
      <c r="I538" s="22" t="s">
        <v>27</v>
      </c>
      <c r="J538" s="45">
        <v>9000</v>
      </c>
      <c r="K538" s="1">
        <v>8</v>
      </c>
      <c r="L538" s="2">
        <v>20</v>
      </c>
      <c r="M538" s="45">
        <v>57600</v>
      </c>
      <c r="N538" s="45">
        <v>38837</v>
      </c>
      <c r="O538" s="45">
        <v>18763</v>
      </c>
      <c r="P538" s="3">
        <v>32.57</v>
      </c>
      <c r="Q538" s="32" t="s">
        <v>75</v>
      </c>
      <c r="R538" s="32" t="s">
        <v>45</v>
      </c>
      <c r="S538" s="32" t="s">
        <v>40</v>
      </c>
      <c r="T538" s="32" t="s">
        <v>31</v>
      </c>
      <c r="U538" s="38">
        <v>1</v>
      </c>
      <c r="V538" s="9"/>
    </row>
    <row r="539" spans="1:22" x14ac:dyDescent="0.35">
      <c r="A539" s="18" t="s">
        <v>632</v>
      </c>
      <c r="B539" s="8">
        <v>45508</v>
      </c>
      <c r="C539" s="23" t="s">
        <v>70</v>
      </c>
      <c r="D539" s="23" t="s">
        <v>108</v>
      </c>
      <c r="E539" s="23" t="s">
        <v>72</v>
      </c>
      <c r="F539" s="28">
        <v>2024</v>
      </c>
      <c r="G539" s="23" t="s">
        <v>61</v>
      </c>
      <c r="H539" s="23" t="s">
        <v>62</v>
      </c>
      <c r="I539" s="23" t="s">
        <v>63</v>
      </c>
      <c r="J539" s="46">
        <v>5000</v>
      </c>
      <c r="K539" s="4">
        <v>2</v>
      </c>
      <c r="L539" s="5">
        <v>10</v>
      </c>
      <c r="M539" s="46">
        <v>9000</v>
      </c>
      <c r="N539" s="46">
        <v>5687</v>
      </c>
      <c r="O539" s="46">
        <v>3313</v>
      </c>
      <c r="P539" s="6">
        <v>36.81</v>
      </c>
      <c r="Q539" s="33" t="s">
        <v>28</v>
      </c>
      <c r="R539" s="33" t="s">
        <v>56</v>
      </c>
      <c r="S539" s="33" t="s">
        <v>85</v>
      </c>
      <c r="T539" s="33" t="s">
        <v>41</v>
      </c>
      <c r="U539" s="39">
        <v>5</v>
      </c>
      <c r="V539" s="9"/>
    </row>
    <row r="540" spans="1:22" x14ac:dyDescent="0.35">
      <c r="A540" s="17" t="s">
        <v>633</v>
      </c>
      <c r="B540" s="7">
        <v>45007</v>
      </c>
      <c r="C540" s="22" t="s">
        <v>22</v>
      </c>
      <c r="D540" s="22" t="s">
        <v>65</v>
      </c>
      <c r="E540" s="22" t="s">
        <v>48</v>
      </c>
      <c r="F540" s="27">
        <v>2023</v>
      </c>
      <c r="G540" s="22" t="s">
        <v>61</v>
      </c>
      <c r="H540" s="22" t="s">
        <v>88</v>
      </c>
      <c r="I540" s="22" t="s">
        <v>55</v>
      </c>
      <c r="J540" s="45">
        <v>8000</v>
      </c>
      <c r="K540" s="1">
        <v>2</v>
      </c>
      <c r="L540" s="2">
        <v>0</v>
      </c>
      <c r="M540" s="45">
        <v>16000</v>
      </c>
      <c r="N540" s="45">
        <v>10085</v>
      </c>
      <c r="O540" s="45">
        <v>5915</v>
      </c>
      <c r="P540" s="3">
        <v>36.97</v>
      </c>
      <c r="Q540" s="32" t="s">
        <v>28</v>
      </c>
      <c r="R540" s="32" t="s">
        <v>29</v>
      </c>
      <c r="S540" s="32" t="s">
        <v>85</v>
      </c>
      <c r="T540" s="32" t="s">
        <v>31</v>
      </c>
      <c r="U540" s="38">
        <v>3</v>
      </c>
      <c r="V540" s="9"/>
    </row>
    <row r="541" spans="1:22" x14ac:dyDescent="0.35">
      <c r="A541" s="18" t="s">
        <v>634</v>
      </c>
      <c r="B541" s="8">
        <v>45474</v>
      </c>
      <c r="C541" s="23" t="s">
        <v>90</v>
      </c>
      <c r="D541" s="23" t="s">
        <v>71</v>
      </c>
      <c r="E541" s="23" t="s">
        <v>72</v>
      </c>
      <c r="F541" s="28">
        <v>2024</v>
      </c>
      <c r="G541" s="23" t="s">
        <v>61</v>
      </c>
      <c r="H541" s="23" t="s">
        <v>174</v>
      </c>
      <c r="I541" s="23" t="s">
        <v>27</v>
      </c>
      <c r="J541" s="46">
        <v>12000</v>
      </c>
      <c r="K541" s="4">
        <v>8</v>
      </c>
      <c r="L541" s="5">
        <v>10</v>
      </c>
      <c r="M541" s="46">
        <v>86400</v>
      </c>
      <c r="N541" s="46">
        <v>60828</v>
      </c>
      <c r="O541" s="46">
        <v>25572</v>
      </c>
      <c r="P541" s="6">
        <v>29.6</v>
      </c>
      <c r="Q541" s="33" t="s">
        <v>75</v>
      </c>
      <c r="R541" s="33" t="s">
        <v>45</v>
      </c>
      <c r="S541" s="33" t="s">
        <v>40</v>
      </c>
      <c r="T541" s="33" t="s">
        <v>41</v>
      </c>
      <c r="U541" s="39">
        <v>3</v>
      </c>
      <c r="V541" s="9"/>
    </row>
    <row r="542" spans="1:22" x14ac:dyDescent="0.35">
      <c r="A542" s="17" t="s">
        <v>635</v>
      </c>
      <c r="B542" s="7">
        <v>45098</v>
      </c>
      <c r="C542" s="22" t="s">
        <v>22</v>
      </c>
      <c r="D542" s="22" t="s">
        <v>87</v>
      </c>
      <c r="E542" s="22" t="s">
        <v>35</v>
      </c>
      <c r="F542" s="27">
        <v>2023</v>
      </c>
      <c r="G542" s="22" t="s">
        <v>36</v>
      </c>
      <c r="H542" s="22" t="s">
        <v>101</v>
      </c>
      <c r="I542" s="22" t="s">
        <v>27</v>
      </c>
      <c r="J542" s="45">
        <v>9000</v>
      </c>
      <c r="K542" s="1">
        <v>5</v>
      </c>
      <c r="L542" s="2">
        <v>15</v>
      </c>
      <c r="M542" s="45">
        <v>38250</v>
      </c>
      <c r="N542" s="45">
        <v>26142</v>
      </c>
      <c r="O542" s="45">
        <v>12108</v>
      </c>
      <c r="P542" s="3">
        <v>31.65</v>
      </c>
      <c r="Q542" s="32" t="s">
        <v>81</v>
      </c>
      <c r="R542" s="32" t="s">
        <v>76</v>
      </c>
      <c r="S542" s="32" t="s">
        <v>40</v>
      </c>
      <c r="T542" s="32" t="s">
        <v>31</v>
      </c>
      <c r="U542" s="38">
        <v>3</v>
      </c>
      <c r="V542" s="9"/>
    </row>
    <row r="543" spans="1:22" x14ac:dyDescent="0.35">
      <c r="A543" s="18" t="s">
        <v>636</v>
      </c>
      <c r="B543" s="8">
        <v>45566</v>
      </c>
      <c r="C543" s="23" t="s">
        <v>83</v>
      </c>
      <c r="D543" s="23" t="s">
        <v>23</v>
      </c>
      <c r="E543" s="23" t="s">
        <v>24</v>
      </c>
      <c r="F543" s="28">
        <v>2024</v>
      </c>
      <c r="G543" s="23" t="s">
        <v>36</v>
      </c>
      <c r="H543" s="23" t="s">
        <v>84</v>
      </c>
      <c r="I543" s="23" t="s">
        <v>27</v>
      </c>
      <c r="J543" s="46">
        <v>8000</v>
      </c>
      <c r="K543" s="4">
        <v>8</v>
      </c>
      <c r="L543" s="5">
        <v>0</v>
      </c>
      <c r="M543" s="46">
        <v>64000</v>
      </c>
      <c r="N543" s="46">
        <v>36580</v>
      </c>
      <c r="O543" s="46">
        <v>27420</v>
      </c>
      <c r="P543" s="6">
        <v>42.84</v>
      </c>
      <c r="Q543" s="33" t="s">
        <v>28</v>
      </c>
      <c r="R543" s="33" t="s">
        <v>45</v>
      </c>
      <c r="S543" s="33" t="s">
        <v>57</v>
      </c>
      <c r="T543" s="33" t="s">
        <v>41</v>
      </c>
      <c r="U543" s="39">
        <v>3</v>
      </c>
      <c r="V543" s="9"/>
    </row>
    <row r="544" spans="1:22" x14ac:dyDescent="0.35">
      <c r="A544" s="17" t="s">
        <v>637</v>
      </c>
      <c r="B544" s="7">
        <v>45190</v>
      </c>
      <c r="C544" s="22" t="s">
        <v>33</v>
      </c>
      <c r="D544" s="22" t="s">
        <v>79</v>
      </c>
      <c r="E544" s="22" t="s">
        <v>72</v>
      </c>
      <c r="F544" s="27">
        <v>2023</v>
      </c>
      <c r="G544" s="22" t="s">
        <v>36</v>
      </c>
      <c r="H544" s="22" t="s">
        <v>26</v>
      </c>
      <c r="I544" s="22" t="s">
        <v>27</v>
      </c>
      <c r="J544" s="45">
        <v>5000</v>
      </c>
      <c r="K544" s="1">
        <v>10</v>
      </c>
      <c r="L544" s="2">
        <v>0</v>
      </c>
      <c r="M544" s="45">
        <v>50000</v>
      </c>
      <c r="N544" s="45">
        <v>35236</v>
      </c>
      <c r="O544" s="45">
        <v>14764</v>
      </c>
      <c r="P544" s="3">
        <v>29.53</v>
      </c>
      <c r="Q544" s="32" t="s">
        <v>39</v>
      </c>
      <c r="R544" s="32" t="s">
        <v>67</v>
      </c>
      <c r="S544" s="32" t="s">
        <v>57</v>
      </c>
      <c r="T544" s="32" t="s">
        <v>41</v>
      </c>
      <c r="U544" s="38">
        <v>2</v>
      </c>
      <c r="V544" s="9"/>
    </row>
    <row r="545" spans="1:22" x14ac:dyDescent="0.35">
      <c r="A545" s="18" t="s">
        <v>638</v>
      </c>
      <c r="B545" s="8">
        <v>45423</v>
      </c>
      <c r="C545" s="23" t="s">
        <v>53</v>
      </c>
      <c r="D545" s="23" t="s">
        <v>116</v>
      </c>
      <c r="E545" s="23" t="s">
        <v>35</v>
      </c>
      <c r="F545" s="28">
        <v>2024</v>
      </c>
      <c r="G545" s="23" t="s">
        <v>25</v>
      </c>
      <c r="H545" s="23" t="s">
        <v>66</v>
      </c>
      <c r="I545" s="23" t="s">
        <v>38</v>
      </c>
      <c r="J545" s="46">
        <v>11000</v>
      </c>
      <c r="K545" s="4">
        <v>1</v>
      </c>
      <c r="L545" s="5">
        <v>0</v>
      </c>
      <c r="M545" s="46">
        <v>11000</v>
      </c>
      <c r="N545" s="46">
        <v>7890</v>
      </c>
      <c r="O545" s="46">
        <v>3110</v>
      </c>
      <c r="P545" s="6">
        <v>28.27</v>
      </c>
      <c r="Q545" s="33" t="s">
        <v>39</v>
      </c>
      <c r="R545" s="33" t="s">
        <v>29</v>
      </c>
      <c r="S545" s="33" t="s">
        <v>68</v>
      </c>
      <c r="T545" s="33" t="s">
        <v>41</v>
      </c>
      <c r="U545" s="39">
        <v>4</v>
      </c>
      <c r="V545" s="9"/>
    </row>
    <row r="546" spans="1:22" x14ac:dyDescent="0.35">
      <c r="A546" s="17" t="s">
        <v>639</v>
      </c>
      <c r="B546" s="7">
        <v>45170</v>
      </c>
      <c r="C546" s="22" t="s">
        <v>78</v>
      </c>
      <c r="D546" s="22" t="s">
        <v>79</v>
      </c>
      <c r="E546" s="22" t="s">
        <v>72</v>
      </c>
      <c r="F546" s="27">
        <v>2023</v>
      </c>
      <c r="G546" s="22" t="s">
        <v>43</v>
      </c>
      <c r="H546" s="22" t="s">
        <v>131</v>
      </c>
      <c r="I546" s="22" t="s">
        <v>63</v>
      </c>
      <c r="J546" s="45">
        <v>10000</v>
      </c>
      <c r="K546" s="1">
        <v>4</v>
      </c>
      <c r="L546" s="2">
        <v>10</v>
      </c>
      <c r="M546" s="45">
        <v>36000</v>
      </c>
      <c r="N546" s="45">
        <v>24294</v>
      </c>
      <c r="O546" s="45">
        <v>11706</v>
      </c>
      <c r="P546" s="3">
        <v>32.520000000000003</v>
      </c>
      <c r="Q546" s="32" t="s">
        <v>81</v>
      </c>
      <c r="R546" s="32" t="s">
        <v>76</v>
      </c>
      <c r="S546" s="32" t="s">
        <v>57</v>
      </c>
      <c r="T546" s="32" t="s">
        <v>31</v>
      </c>
      <c r="U546" s="38">
        <v>2</v>
      </c>
      <c r="V546" s="9"/>
    </row>
    <row r="547" spans="1:22" x14ac:dyDescent="0.35">
      <c r="A547" s="18" t="s">
        <v>640</v>
      </c>
      <c r="B547" s="8">
        <v>45402</v>
      </c>
      <c r="C547" s="23" t="s">
        <v>53</v>
      </c>
      <c r="D547" s="23" t="s">
        <v>34</v>
      </c>
      <c r="E547" s="23" t="s">
        <v>35</v>
      </c>
      <c r="F547" s="28">
        <v>2024</v>
      </c>
      <c r="G547" s="23" t="s">
        <v>25</v>
      </c>
      <c r="H547" s="23" t="s">
        <v>98</v>
      </c>
      <c r="I547" s="23" t="s">
        <v>63</v>
      </c>
      <c r="J547" s="46">
        <v>28000</v>
      </c>
      <c r="K547" s="4">
        <v>5</v>
      </c>
      <c r="L547" s="5">
        <v>5</v>
      </c>
      <c r="M547" s="46">
        <v>133000</v>
      </c>
      <c r="N547" s="46">
        <v>90020</v>
      </c>
      <c r="O547" s="46">
        <v>42980</v>
      </c>
      <c r="P547" s="6">
        <v>32.32</v>
      </c>
      <c r="Q547" s="33" t="s">
        <v>75</v>
      </c>
      <c r="R547" s="33" t="s">
        <v>56</v>
      </c>
      <c r="S547" s="33" t="s">
        <v>40</v>
      </c>
      <c r="T547" s="33" t="s">
        <v>41</v>
      </c>
      <c r="U547" s="39">
        <v>3</v>
      </c>
      <c r="V547" s="9"/>
    </row>
    <row r="548" spans="1:22" x14ac:dyDescent="0.35">
      <c r="A548" s="17" t="s">
        <v>641</v>
      </c>
      <c r="B548" s="7">
        <v>45075</v>
      </c>
      <c r="C548" s="22" t="s">
        <v>90</v>
      </c>
      <c r="D548" s="22" t="s">
        <v>116</v>
      </c>
      <c r="E548" s="22" t="s">
        <v>35</v>
      </c>
      <c r="F548" s="27">
        <v>2023</v>
      </c>
      <c r="G548" s="22" t="s">
        <v>43</v>
      </c>
      <c r="H548" s="22" t="s">
        <v>126</v>
      </c>
      <c r="I548" s="22" t="s">
        <v>55</v>
      </c>
      <c r="J548" s="45">
        <v>12000</v>
      </c>
      <c r="K548" s="1">
        <v>1</v>
      </c>
      <c r="L548" s="2">
        <v>0</v>
      </c>
      <c r="M548" s="45">
        <v>12000</v>
      </c>
      <c r="N548" s="45">
        <v>8492</v>
      </c>
      <c r="O548" s="45">
        <v>3508</v>
      </c>
      <c r="P548" s="3">
        <v>29.23</v>
      </c>
      <c r="Q548" s="32" t="s">
        <v>51</v>
      </c>
      <c r="R548" s="32" t="s">
        <v>67</v>
      </c>
      <c r="S548" s="32" t="s">
        <v>57</v>
      </c>
      <c r="T548" s="32" t="s">
        <v>31</v>
      </c>
      <c r="U548" s="38">
        <v>5</v>
      </c>
      <c r="V548" s="9"/>
    </row>
    <row r="549" spans="1:22" x14ac:dyDescent="0.35">
      <c r="A549" s="18" t="s">
        <v>642</v>
      </c>
      <c r="B549" s="8">
        <v>45579</v>
      </c>
      <c r="C549" s="23" t="s">
        <v>90</v>
      </c>
      <c r="D549" s="23" t="s">
        <v>23</v>
      </c>
      <c r="E549" s="23" t="s">
        <v>24</v>
      </c>
      <c r="F549" s="28">
        <v>2024</v>
      </c>
      <c r="G549" s="23" t="s">
        <v>43</v>
      </c>
      <c r="H549" s="23" t="s">
        <v>59</v>
      </c>
      <c r="I549" s="23" t="s">
        <v>50</v>
      </c>
      <c r="J549" s="46">
        <v>22000</v>
      </c>
      <c r="K549" s="4">
        <v>10</v>
      </c>
      <c r="L549" s="5">
        <v>15</v>
      </c>
      <c r="M549" s="46">
        <v>187000</v>
      </c>
      <c r="N549" s="46">
        <v>130137</v>
      </c>
      <c r="O549" s="46">
        <v>56863</v>
      </c>
      <c r="P549" s="6">
        <v>30.41</v>
      </c>
      <c r="Q549" s="33" t="s">
        <v>81</v>
      </c>
      <c r="R549" s="33" t="s">
        <v>45</v>
      </c>
      <c r="S549" s="33" t="s">
        <v>57</v>
      </c>
      <c r="T549" s="33" t="s">
        <v>41</v>
      </c>
      <c r="U549" s="39">
        <v>5</v>
      </c>
      <c r="V549" s="9"/>
    </row>
    <row r="550" spans="1:22" x14ac:dyDescent="0.35">
      <c r="A550" s="17" t="s">
        <v>643</v>
      </c>
      <c r="B550" s="7">
        <v>45327</v>
      </c>
      <c r="C550" s="22" t="s">
        <v>90</v>
      </c>
      <c r="D550" s="22" t="s">
        <v>74</v>
      </c>
      <c r="E550" s="22" t="s">
        <v>48</v>
      </c>
      <c r="F550" s="27">
        <v>2024</v>
      </c>
      <c r="G550" s="22" t="s">
        <v>43</v>
      </c>
      <c r="H550" s="22" t="s">
        <v>131</v>
      </c>
      <c r="I550" s="22" t="s">
        <v>63</v>
      </c>
      <c r="J550" s="45">
        <v>10000</v>
      </c>
      <c r="K550" s="1">
        <v>10</v>
      </c>
      <c r="L550" s="2">
        <v>20</v>
      </c>
      <c r="M550" s="45">
        <v>80000</v>
      </c>
      <c r="N550" s="45">
        <v>46651</v>
      </c>
      <c r="O550" s="45">
        <v>33349</v>
      </c>
      <c r="P550" s="3">
        <v>41.69</v>
      </c>
      <c r="Q550" s="32" t="s">
        <v>81</v>
      </c>
      <c r="R550" s="32" t="s">
        <v>56</v>
      </c>
      <c r="S550" s="32" t="s">
        <v>57</v>
      </c>
      <c r="T550" s="32" t="s">
        <v>31</v>
      </c>
      <c r="U550" s="38">
        <v>1</v>
      </c>
      <c r="V550" s="9"/>
    </row>
    <row r="551" spans="1:22" x14ac:dyDescent="0.35">
      <c r="A551" s="18" t="s">
        <v>644</v>
      </c>
      <c r="B551" s="8">
        <v>44939</v>
      </c>
      <c r="C551" s="23" t="s">
        <v>78</v>
      </c>
      <c r="D551" s="23" t="s">
        <v>47</v>
      </c>
      <c r="E551" s="23" t="s">
        <v>48</v>
      </c>
      <c r="F551" s="28">
        <v>2023</v>
      </c>
      <c r="G551" s="23" t="s">
        <v>61</v>
      </c>
      <c r="H551" s="23" t="s">
        <v>93</v>
      </c>
      <c r="I551" s="23" t="s">
        <v>63</v>
      </c>
      <c r="J551" s="46">
        <v>14000</v>
      </c>
      <c r="K551" s="4">
        <v>9</v>
      </c>
      <c r="L551" s="5">
        <v>0</v>
      </c>
      <c r="M551" s="46">
        <v>126000</v>
      </c>
      <c r="N551" s="46">
        <v>83983</v>
      </c>
      <c r="O551" s="46">
        <v>42017</v>
      </c>
      <c r="P551" s="6">
        <v>33.35</v>
      </c>
      <c r="Q551" s="33" t="s">
        <v>81</v>
      </c>
      <c r="R551" s="33" t="s">
        <v>56</v>
      </c>
      <c r="S551" s="33" t="s">
        <v>57</v>
      </c>
      <c r="T551" s="33" t="s">
        <v>31</v>
      </c>
      <c r="U551" s="39">
        <v>1</v>
      </c>
      <c r="V551" s="9"/>
    </row>
    <row r="552" spans="1:22" x14ac:dyDescent="0.35">
      <c r="A552" s="17" t="s">
        <v>645</v>
      </c>
      <c r="B552" s="7">
        <v>44951</v>
      </c>
      <c r="C552" s="22" t="s">
        <v>22</v>
      </c>
      <c r="D552" s="22" t="s">
        <v>47</v>
      </c>
      <c r="E552" s="22" t="s">
        <v>48</v>
      </c>
      <c r="F552" s="27">
        <v>2023</v>
      </c>
      <c r="G552" s="22" t="s">
        <v>43</v>
      </c>
      <c r="H552" s="22" t="s">
        <v>80</v>
      </c>
      <c r="I552" s="22" t="s">
        <v>55</v>
      </c>
      <c r="J552" s="45">
        <v>25000</v>
      </c>
      <c r="K552" s="1">
        <v>1</v>
      </c>
      <c r="L552" s="2">
        <v>10</v>
      </c>
      <c r="M552" s="45">
        <v>22500</v>
      </c>
      <c r="N552" s="45">
        <v>14887</v>
      </c>
      <c r="O552" s="45">
        <v>7613</v>
      </c>
      <c r="P552" s="3">
        <v>33.840000000000003</v>
      </c>
      <c r="Q552" s="32" t="s">
        <v>39</v>
      </c>
      <c r="R552" s="32" t="s">
        <v>29</v>
      </c>
      <c r="S552" s="32" t="s">
        <v>30</v>
      </c>
      <c r="T552" s="32" t="s">
        <v>31</v>
      </c>
      <c r="U552" s="38">
        <v>5</v>
      </c>
      <c r="V552" s="9"/>
    </row>
    <row r="553" spans="1:22" x14ac:dyDescent="0.35">
      <c r="A553" s="18" t="s">
        <v>646</v>
      </c>
      <c r="B553" s="8">
        <v>45060</v>
      </c>
      <c r="C553" s="23" t="s">
        <v>70</v>
      </c>
      <c r="D553" s="23" t="s">
        <v>116</v>
      </c>
      <c r="E553" s="23" t="s">
        <v>35</v>
      </c>
      <c r="F553" s="28">
        <v>2023</v>
      </c>
      <c r="G553" s="23" t="s">
        <v>43</v>
      </c>
      <c r="H553" s="23" t="s">
        <v>119</v>
      </c>
      <c r="I553" s="23" t="s">
        <v>63</v>
      </c>
      <c r="J553" s="46">
        <v>16000</v>
      </c>
      <c r="K553" s="4">
        <v>3</v>
      </c>
      <c r="L553" s="5">
        <v>0</v>
      </c>
      <c r="M553" s="46">
        <v>48000</v>
      </c>
      <c r="N553" s="46">
        <v>32077</v>
      </c>
      <c r="O553" s="46">
        <v>15923</v>
      </c>
      <c r="P553" s="6">
        <v>33.17</v>
      </c>
      <c r="Q553" s="33" t="s">
        <v>81</v>
      </c>
      <c r="R553" s="33" t="s">
        <v>45</v>
      </c>
      <c r="S553" s="33" t="s">
        <v>40</v>
      </c>
      <c r="T553" s="33" t="s">
        <v>41</v>
      </c>
      <c r="U553" s="39">
        <v>3</v>
      </c>
      <c r="V553" s="9"/>
    </row>
    <row r="554" spans="1:22" x14ac:dyDescent="0.35">
      <c r="A554" s="17" t="s">
        <v>647</v>
      </c>
      <c r="B554" s="7">
        <v>45364</v>
      </c>
      <c r="C554" s="22" t="s">
        <v>22</v>
      </c>
      <c r="D554" s="22" t="s">
        <v>65</v>
      </c>
      <c r="E554" s="22" t="s">
        <v>48</v>
      </c>
      <c r="F554" s="27">
        <v>2024</v>
      </c>
      <c r="G554" s="22" t="s">
        <v>61</v>
      </c>
      <c r="H554" s="22" t="s">
        <v>145</v>
      </c>
      <c r="I554" s="22" t="s">
        <v>50</v>
      </c>
      <c r="J554" s="45">
        <v>12000</v>
      </c>
      <c r="K554" s="1">
        <v>3</v>
      </c>
      <c r="L554" s="2">
        <v>20</v>
      </c>
      <c r="M554" s="45">
        <v>28800</v>
      </c>
      <c r="N554" s="45">
        <v>16202</v>
      </c>
      <c r="O554" s="45">
        <v>12598</v>
      </c>
      <c r="P554" s="3">
        <v>43.74</v>
      </c>
      <c r="Q554" s="32" t="s">
        <v>28</v>
      </c>
      <c r="R554" s="32" t="s">
        <v>67</v>
      </c>
      <c r="S554" s="32" t="s">
        <v>40</v>
      </c>
      <c r="T554" s="32" t="s">
        <v>31</v>
      </c>
      <c r="U554" s="38">
        <v>3</v>
      </c>
      <c r="V554" s="9"/>
    </row>
    <row r="555" spans="1:22" x14ac:dyDescent="0.35">
      <c r="A555" s="18" t="s">
        <v>648</v>
      </c>
      <c r="B555" s="8">
        <v>45198</v>
      </c>
      <c r="C555" s="23" t="s">
        <v>78</v>
      </c>
      <c r="D555" s="23" t="s">
        <v>79</v>
      </c>
      <c r="E555" s="23" t="s">
        <v>72</v>
      </c>
      <c r="F555" s="28">
        <v>2023</v>
      </c>
      <c r="G555" s="23" t="s">
        <v>36</v>
      </c>
      <c r="H555" s="23" t="s">
        <v>113</v>
      </c>
      <c r="I555" s="23" t="s">
        <v>38</v>
      </c>
      <c r="J555" s="46">
        <v>3500</v>
      </c>
      <c r="K555" s="4">
        <v>2</v>
      </c>
      <c r="L555" s="5">
        <v>5</v>
      </c>
      <c r="M555" s="46">
        <v>6650</v>
      </c>
      <c r="N555" s="46">
        <v>4765</v>
      </c>
      <c r="O555" s="46">
        <v>1885</v>
      </c>
      <c r="P555" s="6">
        <v>28.35</v>
      </c>
      <c r="Q555" s="33" t="s">
        <v>39</v>
      </c>
      <c r="R555" s="33" t="s">
        <v>29</v>
      </c>
      <c r="S555" s="33" t="s">
        <v>40</v>
      </c>
      <c r="T555" s="33" t="s">
        <v>41</v>
      </c>
      <c r="U555" s="39">
        <v>1</v>
      </c>
      <c r="V555" s="9"/>
    </row>
    <row r="556" spans="1:22" x14ac:dyDescent="0.35">
      <c r="A556" s="17" t="s">
        <v>649</v>
      </c>
      <c r="B556" s="7">
        <v>45074</v>
      </c>
      <c r="C556" s="22" t="s">
        <v>70</v>
      </c>
      <c r="D556" s="22" t="s">
        <v>116</v>
      </c>
      <c r="E556" s="22" t="s">
        <v>35</v>
      </c>
      <c r="F556" s="27">
        <v>2023</v>
      </c>
      <c r="G556" s="22" t="s">
        <v>43</v>
      </c>
      <c r="H556" s="22" t="s">
        <v>126</v>
      </c>
      <c r="I556" s="22" t="s">
        <v>55</v>
      </c>
      <c r="J556" s="45">
        <v>12000</v>
      </c>
      <c r="K556" s="1">
        <v>4</v>
      </c>
      <c r="L556" s="2">
        <v>10</v>
      </c>
      <c r="M556" s="45">
        <v>43200</v>
      </c>
      <c r="N556" s="45">
        <v>28485</v>
      </c>
      <c r="O556" s="45">
        <v>14715</v>
      </c>
      <c r="P556" s="3">
        <v>34.06</v>
      </c>
      <c r="Q556" s="32" t="s">
        <v>51</v>
      </c>
      <c r="R556" s="32" t="s">
        <v>45</v>
      </c>
      <c r="S556" s="32" t="s">
        <v>30</v>
      </c>
      <c r="T556" s="32" t="s">
        <v>31</v>
      </c>
      <c r="U556" s="38">
        <v>1</v>
      </c>
      <c r="V556" s="9"/>
    </row>
    <row r="557" spans="1:22" x14ac:dyDescent="0.35">
      <c r="A557" s="18" t="s">
        <v>650</v>
      </c>
      <c r="B557" s="8">
        <v>45512</v>
      </c>
      <c r="C557" s="23" t="s">
        <v>33</v>
      </c>
      <c r="D557" s="23" t="s">
        <v>108</v>
      </c>
      <c r="E557" s="23" t="s">
        <v>72</v>
      </c>
      <c r="F557" s="28">
        <v>2024</v>
      </c>
      <c r="G557" s="23" t="s">
        <v>61</v>
      </c>
      <c r="H557" s="23" t="s">
        <v>59</v>
      </c>
      <c r="I557" s="23" t="s">
        <v>50</v>
      </c>
      <c r="J557" s="46">
        <v>22000</v>
      </c>
      <c r="K557" s="4">
        <v>1</v>
      </c>
      <c r="L557" s="5">
        <v>5</v>
      </c>
      <c r="M557" s="46">
        <v>20900</v>
      </c>
      <c r="N557" s="46">
        <v>12024</v>
      </c>
      <c r="O557" s="46">
        <v>8876</v>
      </c>
      <c r="P557" s="6">
        <v>42.47</v>
      </c>
      <c r="Q557" s="33" t="s">
        <v>28</v>
      </c>
      <c r="R557" s="33" t="s">
        <v>76</v>
      </c>
      <c r="S557" s="33" t="s">
        <v>40</v>
      </c>
      <c r="T557" s="33" t="s">
        <v>31</v>
      </c>
      <c r="U557" s="39">
        <v>3</v>
      </c>
      <c r="V557" s="9"/>
    </row>
    <row r="558" spans="1:22" x14ac:dyDescent="0.35">
      <c r="A558" s="17" t="s">
        <v>651</v>
      </c>
      <c r="B558" s="7">
        <v>45327</v>
      </c>
      <c r="C558" s="22" t="s">
        <v>90</v>
      </c>
      <c r="D558" s="22" t="s">
        <v>74</v>
      </c>
      <c r="E558" s="22" t="s">
        <v>48</v>
      </c>
      <c r="F558" s="27">
        <v>2024</v>
      </c>
      <c r="G558" s="22" t="s">
        <v>25</v>
      </c>
      <c r="H558" s="22" t="s">
        <v>80</v>
      </c>
      <c r="I558" s="22" t="s">
        <v>55</v>
      </c>
      <c r="J558" s="45">
        <v>25000</v>
      </c>
      <c r="K558" s="1">
        <v>9</v>
      </c>
      <c r="L558" s="2">
        <v>15</v>
      </c>
      <c r="M558" s="45">
        <v>191250</v>
      </c>
      <c r="N558" s="45">
        <v>135746</v>
      </c>
      <c r="O558" s="45">
        <v>55504</v>
      </c>
      <c r="P558" s="3">
        <v>29.02</v>
      </c>
      <c r="Q558" s="32" t="s">
        <v>51</v>
      </c>
      <c r="R558" s="32" t="s">
        <v>67</v>
      </c>
      <c r="S558" s="32" t="s">
        <v>40</v>
      </c>
      <c r="T558" s="32" t="s">
        <v>31</v>
      </c>
      <c r="U558" s="38">
        <v>5</v>
      </c>
      <c r="V558" s="9"/>
    </row>
    <row r="559" spans="1:22" x14ac:dyDescent="0.35">
      <c r="A559" s="18" t="s">
        <v>652</v>
      </c>
      <c r="B559" s="8">
        <v>45158</v>
      </c>
      <c r="C559" s="23" t="s">
        <v>70</v>
      </c>
      <c r="D559" s="23" t="s">
        <v>108</v>
      </c>
      <c r="E559" s="23" t="s">
        <v>72</v>
      </c>
      <c r="F559" s="28">
        <v>2023</v>
      </c>
      <c r="G559" s="23" t="s">
        <v>25</v>
      </c>
      <c r="H559" s="23" t="s">
        <v>174</v>
      </c>
      <c r="I559" s="23" t="s">
        <v>27</v>
      </c>
      <c r="J559" s="46">
        <v>12000</v>
      </c>
      <c r="K559" s="4">
        <v>8</v>
      </c>
      <c r="L559" s="5">
        <v>0</v>
      </c>
      <c r="M559" s="46">
        <v>96000</v>
      </c>
      <c r="N559" s="46">
        <v>62057</v>
      </c>
      <c r="O559" s="46">
        <v>33943</v>
      </c>
      <c r="P559" s="6">
        <v>35.36</v>
      </c>
      <c r="Q559" s="33" t="s">
        <v>81</v>
      </c>
      <c r="R559" s="33" t="s">
        <v>45</v>
      </c>
      <c r="S559" s="33" t="s">
        <v>57</v>
      </c>
      <c r="T559" s="33" t="s">
        <v>31</v>
      </c>
      <c r="U559" s="39">
        <v>1</v>
      </c>
      <c r="V559" s="9"/>
    </row>
    <row r="560" spans="1:22" x14ac:dyDescent="0.35">
      <c r="A560" s="17" t="s">
        <v>653</v>
      </c>
      <c r="B560" s="7">
        <v>45301</v>
      </c>
      <c r="C560" s="22" t="s">
        <v>22</v>
      </c>
      <c r="D560" s="22" t="s">
        <v>47</v>
      </c>
      <c r="E560" s="22" t="s">
        <v>48</v>
      </c>
      <c r="F560" s="27">
        <v>2024</v>
      </c>
      <c r="G560" s="22" t="s">
        <v>43</v>
      </c>
      <c r="H560" s="22" t="s">
        <v>54</v>
      </c>
      <c r="I560" s="22" t="s">
        <v>55</v>
      </c>
      <c r="J560" s="45">
        <v>18000</v>
      </c>
      <c r="K560" s="1">
        <v>2</v>
      </c>
      <c r="L560" s="2">
        <v>20</v>
      </c>
      <c r="M560" s="45">
        <v>28800</v>
      </c>
      <c r="N560" s="45">
        <v>18090</v>
      </c>
      <c r="O560" s="45">
        <v>10710</v>
      </c>
      <c r="P560" s="3">
        <v>37.19</v>
      </c>
      <c r="Q560" s="32" t="s">
        <v>81</v>
      </c>
      <c r="R560" s="32" t="s">
        <v>56</v>
      </c>
      <c r="S560" s="32" t="s">
        <v>68</v>
      </c>
      <c r="T560" s="32" t="s">
        <v>41</v>
      </c>
      <c r="U560" s="38">
        <v>2</v>
      </c>
      <c r="V560" s="9"/>
    </row>
    <row r="561" spans="1:22" x14ac:dyDescent="0.35">
      <c r="A561" s="18" t="s">
        <v>654</v>
      </c>
      <c r="B561" s="8">
        <v>45233</v>
      </c>
      <c r="C561" s="23" t="s">
        <v>78</v>
      </c>
      <c r="D561" s="23" t="s">
        <v>110</v>
      </c>
      <c r="E561" s="23" t="s">
        <v>24</v>
      </c>
      <c r="F561" s="28">
        <v>2023</v>
      </c>
      <c r="G561" s="23" t="s">
        <v>43</v>
      </c>
      <c r="H561" s="23" t="s">
        <v>93</v>
      </c>
      <c r="I561" s="23" t="s">
        <v>63</v>
      </c>
      <c r="J561" s="46">
        <v>14000</v>
      </c>
      <c r="K561" s="4">
        <v>6</v>
      </c>
      <c r="L561" s="5">
        <v>5</v>
      </c>
      <c r="M561" s="46">
        <v>79800</v>
      </c>
      <c r="N561" s="46">
        <v>45041</v>
      </c>
      <c r="O561" s="46">
        <v>34759</v>
      </c>
      <c r="P561" s="6">
        <v>43.56</v>
      </c>
      <c r="Q561" s="33" t="s">
        <v>51</v>
      </c>
      <c r="R561" s="33" t="s">
        <v>56</v>
      </c>
      <c r="S561" s="33" t="s">
        <v>68</v>
      </c>
      <c r="T561" s="33" t="s">
        <v>31</v>
      </c>
      <c r="U561" s="39">
        <v>1</v>
      </c>
      <c r="V561" s="9"/>
    </row>
    <row r="562" spans="1:22" x14ac:dyDescent="0.35">
      <c r="A562" s="17" t="s">
        <v>655</v>
      </c>
      <c r="B562" s="7">
        <v>45534</v>
      </c>
      <c r="C562" s="22" t="s">
        <v>78</v>
      </c>
      <c r="D562" s="22" t="s">
        <v>108</v>
      </c>
      <c r="E562" s="22" t="s">
        <v>72</v>
      </c>
      <c r="F562" s="27">
        <v>2024</v>
      </c>
      <c r="G562" s="22" t="s">
        <v>25</v>
      </c>
      <c r="H562" s="22" t="s">
        <v>113</v>
      </c>
      <c r="I562" s="22" t="s">
        <v>38</v>
      </c>
      <c r="J562" s="45">
        <v>3500</v>
      </c>
      <c r="K562" s="1">
        <v>7</v>
      </c>
      <c r="L562" s="2">
        <v>0</v>
      </c>
      <c r="M562" s="45">
        <v>24500</v>
      </c>
      <c r="N562" s="45">
        <v>16777</v>
      </c>
      <c r="O562" s="45">
        <v>7723</v>
      </c>
      <c r="P562" s="3">
        <v>31.52</v>
      </c>
      <c r="Q562" s="32" t="s">
        <v>81</v>
      </c>
      <c r="R562" s="32" t="s">
        <v>67</v>
      </c>
      <c r="S562" s="32" t="s">
        <v>85</v>
      </c>
      <c r="T562" s="32" t="s">
        <v>31</v>
      </c>
      <c r="U562" s="38">
        <v>1</v>
      </c>
      <c r="V562" s="9"/>
    </row>
    <row r="563" spans="1:22" x14ac:dyDescent="0.35">
      <c r="A563" s="18" t="s">
        <v>656</v>
      </c>
      <c r="B563" s="8">
        <v>45274</v>
      </c>
      <c r="C563" s="23" t="s">
        <v>33</v>
      </c>
      <c r="D563" s="23" t="s">
        <v>97</v>
      </c>
      <c r="E563" s="23" t="s">
        <v>24</v>
      </c>
      <c r="F563" s="28">
        <v>2023</v>
      </c>
      <c r="G563" s="23" t="s">
        <v>36</v>
      </c>
      <c r="H563" s="23" t="s">
        <v>84</v>
      </c>
      <c r="I563" s="23" t="s">
        <v>27</v>
      </c>
      <c r="J563" s="46">
        <v>8000</v>
      </c>
      <c r="K563" s="4">
        <v>1</v>
      </c>
      <c r="L563" s="5">
        <v>5</v>
      </c>
      <c r="M563" s="46">
        <v>7600</v>
      </c>
      <c r="N563" s="46">
        <v>4333</v>
      </c>
      <c r="O563" s="46">
        <v>3267</v>
      </c>
      <c r="P563" s="6">
        <v>42.99</v>
      </c>
      <c r="Q563" s="33" t="s">
        <v>75</v>
      </c>
      <c r="R563" s="33" t="s">
        <v>67</v>
      </c>
      <c r="S563" s="33" t="s">
        <v>85</v>
      </c>
      <c r="T563" s="33" t="s">
        <v>31</v>
      </c>
      <c r="U563" s="39">
        <v>1</v>
      </c>
      <c r="V563" s="9"/>
    </row>
    <row r="564" spans="1:22" x14ac:dyDescent="0.35">
      <c r="A564" s="17" t="s">
        <v>657</v>
      </c>
      <c r="B564" s="7">
        <v>44964</v>
      </c>
      <c r="C564" s="22" t="s">
        <v>83</v>
      </c>
      <c r="D564" s="22" t="s">
        <v>74</v>
      </c>
      <c r="E564" s="22" t="s">
        <v>48</v>
      </c>
      <c r="F564" s="27">
        <v>2023</v>
      </c>
      <c r="G564" s="22" t="s">
        <v>36</v>
      </c>
      <c r="H564" s="22" t="s">
        <v>113</v>
      </c>
      <c r="I564" s="22" t="s">
        <v>38</v>
      </c>
      <c r="J564" s="45">
        <v>3500</v>
      </c>
      <c r="K564" s="1">
        <v>1</v>
      </c>
      <c r="L564" s="2">
        <v>5</v>
      </c>
      <c r="M564" s="45">
        <v>3325</v>
      </c>
      <c r="N564" s="45">
        <v>2342</v>
      </c>
      <c r="O564" s="45">
        <v>983</v>
      </c>
      <c r="P564" s="3">
        <v>29.56</v>
      </c>
      <c r="Q564" s="32" t="s">
        <v>75</v>
      </c>
      <c r="R564" s="32" t="s">
        <v>76</v>
      </c>
      <c r="S564" s="32" t="s">
        <v>68</v>
      </c>
      <c r="T564" s="32" t="s">
        <v>31</v>
      </c>
      <c r="U564" s="38">
        <v>2</v>
      </c>
      <c r="V564" s="9"/>
    </row>
    <row r="565" spans="1:22" x14ac:dyDescent="0.35">
      <c r="A565" s="18" t="s">
        <v>658</v>
      </c>
      <c r="B565" s="8">
        <v>45574</v>
      </c>
      <c r="C565" s="23" t="s">
        <v>22</v>
      </c>
      <c r="D565" s="23" t="s">
        <v>23</v>
      </c>
      <c r="E565" s="23" t="s">
        <v>24</v>
      </c>
      <c r="F565" s="28">
        <v>2024</v>
      </c>
      <c r="G565" s="23" t="s">
        <v>43</v>
      </c>
      <c r="H565" s="23" t="s">
        <v>84</v>
      </c>
      <c r="I565" s="23" t="s">
        <v>27</v>
      </c>
      <c r="J565" s="46">
        <v>8000</v>
      </c>
      <c r="K565" s="4">
        <v>2</v>
      </c>
      <c r="L565" s="5">
        <v>5</v>
      </c>
      <c r="M565" s="46">
        <v>15200</v>
      </c>
      <c r="N565" s="46">
        <v>9939</v>
      </c>
      <c r="O565" s="46">
        <v>5261</v>
      </c>
      <c r="P565" s="6">
        <v>34.61</v>
      </c>
      <c r="Q565" s="33" t="s">
        <v>75</v>
      </c>
      <c r="R565" s="33" t="s">
        <v>76</v>
      </c>
      <c r="S565" s="33" t="s">
        <v>30</v>
      </c>
      <c r="T565" s="33" t="s">
        <v>41</v>
      </c>
      <c r="U565" s="39">
        <v>5</v>
      </c>
      <c r="V565" s="9"/>
    </row>
    <row r="566" spans="1:22" x14ac:dyDescent="0.35">
      <c r="A566" s="17" t="s">
        <v>659</v>
      </c>
      <c r="B566" s="7">
        <v>45557</v>
      </c>
      <c r="C566" s="22" t="s">
        <v>70</v>
      </c>
      <c r="D566" s="22" t="s">
        <v>79</v>
      </c>
      <c r="E566" s="22" t="s">
        <v>72</v>
      </c>
      <c r="F566" s="27">
        <v>2024</v>
      </c>
      <c r="G566" s="22" t="s">
        <v>36</v>
      </c>
      <c r="H566" s="22" t="s">
        <v>106</v>
      </c>
      <c r="I566" s="22" t="s">
        <v>38</v>
      </c>
      <c r="J566" s="45">
        <v>12000</v>
      </c>
      <c r="K566" s="1">
        <v>4</v>
      </c>
      <c r="L566" s="2">
        <v>5</v>
      </c>
      <c r="M566" s="45">
        <v>45600</v>
      </c>
      <c r="N566" s="45">
        <v>27695</v>
      </c>
      <c r="O566" s="45">
        <v>17905</v>
      </c>
      <c r="P566" s="3">
        <v>39.270000000000003</v>
      </c>
      <c r="Q566" s="32" t="s">
        <v>51</v>
      </c>
      <c r="R566" s="32" t="s">
        <v>45</v>
      </c>
      <c r="S566" s="32" t="s">
        <v>30</v>
      </c>
      <c r="T566" s="32" t="s">
        <v>41</v>
      </c>
      <c r="U566" s="38">
        <v>2</v>
      </c>
      <c r="V566" s="9"/>
    </row>
    <row r="567" spans="1:22" x14ac:dyDescent="0.35">
      <c r="A567" s="18" t="s">
        <v>660</v>
      </c>
      <c r="B567" s="8">
        <v>44973</v>
      </c>
      <c r="C567" s="23" t="s">
        <v>33</v>
      </c>
      <c r="D567" s="23" t="s">
        <v>74</v>
      </c>
      <c r="E567" s="23" t="s">
        <v>48</v>
      </c>
      <c r="F567" s="28">
        <v>2023</v>
      </c>
      <c r="G567" s="23" t="s">
        <v>61</v>
      </c>
      <c r="H567" s="23" t="s">
        <v>186</v>
      </c>
      <c r="I567" s="23" t="s">
        <v>55</v>
      </c>
      <c r="J567" s="46">
        <v>20000</v>
      </c>
      <c r="K567" s="4">
        <v>6</v>
      </c>
      <c r="L567" s="5">
        <v>0</v>
      </c>
      <c r="M567" s="46">
        <v>120000</v>
      </c>
      <c r="N567" s="46">
        <v>68463</v>
      </c>
      <c r="O567" s="46">
        <v>51537</v>
      </c>
      <c r="P567" s="6">
        <v>42.95</v>
      </c>
      <c r="Q567" s="33" t="s">
        <v>39</v>
      </c>
      <c r="R567" s="33" t="s">
        <v>67</v>
      </c>
      <c r="S567" s="33" t="s">
        <v>68</v>
      </c>
      <c r="T567" s="33" t="s">
        <v>31</v>
      </c>
      <c r="U567" s="39">
        <v>4</v>
      </c>
      <c r="V567" s="9"/>
    </row>
    <row r="568" spans="1:22" x14ac:dyDescent="0.35">
      <c r="A568" s="17" t="s">
        <v>661</v>
      </c>
      <c r="B568" s="7">
        <v>45176</v>
      </c>
      <c r="C568" s="22" t="s">
        <v>33</v>
      </c>
      <c r="D568" s="22" t="s">
        <v>79</v>
      </c>
      <c r="E568" s="22" t="s">
        <v>72</v>
      </c>
      <c r="F568" s="27">
        <v>2023</v>
      </c>
      <c r="G568" s="22" t="s">
        <v>43</v>
      </c>
      <c r="H568" s="22" t="s">
        <v>80</v>
      </c>
      <c r="I568" s="22" t="s">
        <v>55</v>
      </c>
      <c r="J568" s="45">
        <v>25000</v>
      </c>
      <c r="K568" s="1">
        <v>3</v>
      </c>
      <c r="L568" s="2">
        <v>0</v>
      </c>
      <c r="M568" s="45">
        <v>75000</v>
      </c>
      <c r="N568" s="45">
        <v>51336</v>
      </c>
      <c r="O568" s="45">
        <v>23664</v>
      </c>
      <c r="P568" s="3">
        <v>31.55</v>
      </c>
      <c r="Q568" s="32" t="s">
        <v>75</v>
      </c>
      <c r="R568" s="32" t="s">
        <v>67</v>
      </c>
      <c r="S568" s="32" t="s">
        <v>68</v>
      </c>
      <c r="T568" s="32" t="s">
        <v>41</v>
      </c>
      <c r="U568" s="38">
        <v>1</v>
      </c>
      <c r="V568" s="9"/>
    </row>
    <row r="569" spans="1:22" x14ac:dyDescent="0.35">
      <c r="A569" s="18" t="s">
        <v>662</v>
      </c>
      <c r="B569" s="8">
        <v>44933</v>
      </c>
      <c r="C569" s="23" t="s">
        <v>53</v>
      </c>
      <c r="D569" s="23" t="s">
        <v>47</v>
      </c>
      <c r="E569" s="23" t="s">
        <v>48</v>
      </c>
      <c r="F569" s="28">
        <v>2023</v>
      </c>
      <c r="G569" s="23" t="s">
        <v>36</v>
      </c>
      <c r="H569" s="23" t="s">
        <v>44</v>
      </c>
      <c r="I569" s="23" t="s">
        <v>27</v>
      </c>
      <c r="J569" s="46">
        <v>6000</v>
      </c>
      <c r="K569" s="4">
        <v>2</v>
      </c>
      <c r="L569" s="5">
        <v>15</v>
      </c>
      <c r="M569" s="46">
        <v>10200</v>
      </c>
      <c r="N569" s="46">
        <v>6740</v>
      </c>
      <c r="O569" s="46">
        <v>3460</v>
      </c>
      <c r="P569" s="6">
        <v>33.92</v>
      </c>
      <c r="Q569" s="33" t="s">
        <v>81</v>
      </c>
      <c r="R569" s="33" t="s">
        <v>67</v>
      </c>
      <c r="S569" s="33" t="s">
        <v>40</v>
      </c>
      <c r="T569" s="33" t="s">
        <v>31</v>
      </c>
      <c r="U569" s="39">
        <v>2</v>
      </c>
      <c r="V569" s="9"/>
    </row>
    <row r="570" spans="1:22" x14ac:dyDescent="0.35">
      <c r="A570" s="17" t="s">
        <v>663</v>
      </c>
      <c r="B570" s="7">
        <v>45582</v>
      </c>
      <c r="C570" s="22" t="s">
        <v>33</v>
      </c>
      <c r="D570" s="22" t="s">
        <v>23</v>
      </c>
      <c r="E570" s="22" t="s">
        <v>24</v>
      </c>
      <c r="F570" s="27">
        <v>2024</v>
      </c>
      <c r="G570" s="22" t="s">
        <v>36</v>
      </c>
      <c r="H570" s="22" t="s">
        <v>49</v>
      </c>
      <c r="I570" s="22" t="s">
        <v>50</v>
      </c>
      <c r="J570" s="45">
        <v>18000</v>
      </c>
      <c r="K570" s="1">
        <v>8</v>
      </c>
      <c r="L570" s="2">
        <v>5</v>
      </c>
      <c r="M570" s="45">
        <v>136800</v>
      </c>
      <c r="N570" s="45">
        <v>80804</v>
      </c>
      <c r="O570" s="45">
        <v>55996</v>
      </c>
      <c r="P570" s="3">
        <v>40.93</v>
      </c>
      <c r="Q570" s="32" t="s">
        <v>39</v>
      </c>
      <c r="R570" s="32" t="s">
        <v>29</v>
      </c>
      <c r="S570" s="32" t="s">
        <v>30</v>
      </c>
      <c r="T570" s="32" t="s">
        <v>41</v>
      </c>
      <c r="U570" s="38">
        <v>5</v>
      </c>
      <c r="V570" s="9"/>
    </row>
    <row r="571" spans="1:22" x14ac:dyDescent="0.35">
      <c r="A571" s="18" t="s">
        <v>664</v>
      </c>
      <c r="B571" s="8">
        <v>45017</v>
      </c>
      <c r="C571" s="23" t="s">
        <v>53</v>
      </c>
      <c r="D571" s="23" t="s">
        <v>34</v>
      </c>
      <c r="E571" s="23" t="s">
        <v>35</v>
      </c>
      <c r="F571" s="28">
        <v>2023</v>
      </c>
      <c r="G571" s="23" t="s">
        <v>43</v>
      </c>
      <c r="H571" s="23" t="s">
        <v>145</v>
      </c>
      <c r="I571" s="23" t="s">
        <v>50</v>
      </c>
      <c r="J571" s="46">
        <v>12000</v>
      </c>
      <c r="K571" s="4">
        <v>7</v>
      </c>
      <c r="L571" s="5">
        <v>0</v>
      </c>
      <c r="M571" s="46">
        <v>84000</v>
      </c>
      <c r="N571" s="46">
        <v>54164</v>
      </c>
      <c r="O571" s="46">
        <v>29836</v>
      </c>
      <c r="P571" s="6">
        <v>35.520000000000003</v>
      </c>
      <c r="Q571" s="33" t="s">
        <v>39</v>
      </c>
      <c r="R571" s="33" t="s">
        <v>76</v>
      </c>
      <c r="S571" s="33" t="s">
        <v>85</v>
      </c>
      <c r="T571" s="33" t="s">
        <v>41</v>
      </c>
      <c r="U571" s="39">
        <v>5</v>
      </c>
      <c r="V571" s="9"/>
    </row>
    <row r="572" spans="1:22" x14ac:dyDescent="0.35">
      <c r="A572" s="17" t="s">
        <v>665</v>
      </c>
      <c r="B572" s="7">
        <v>45446</v>
      </c>
      <c r="C572" s="22" t="s">
        <v>90</v>
      </c>
      <c r="D572" s="22" t="s">
        <v>87</v>
      </c>
      <c r="E572" s="22" t="s">
        <v>35</v>
      </c>
      <c r="F572" s="27">
        <v>2024</v>
      </c>
      <c r="G572" s="22" t="s">
        <v>25</v>
      </c>
      <c r="H572" s="22" t="s">
        <v>113</v>
      </c>
      <c r="I572" s="22" t="s">
        <v>38</v>
      </c>
      <c r="J572" s="45">
        <v>3500</v>
      </c>
      <c r="K572" s="1">
        <v>4</v>
      </c>
      <c r="L572" s="2">
        <v>0</v>
      </c>
      <c r="M572" s="45">
        <v>14000</v>
      </c>
      <c r="N572" s="45">
        <v>7826</v>
      </c>
      <c r="O572" s="45">
        <v>6174</v>
      </c>
      <c r="P572" s="3">
        <v>44.1</v>
      </c>
      <c r="Q572" s="32" t="s">
        <v>28</v>
      </c>
      <c r="R572" s="32" t="s">
        <v>56</v>
      </c>
      <c r="S572" s="32" t="s">
        <v>40</v>
      </c>
      <c r="T572" s="32" t="s">
        <v>31</v>
      </c>
      <c r="U572" s="38">
        <v>2</v>
      </c>
      <c r="V572" s="9"/>
    </row>
    <row r="573" spans="1:22" x14ac:dyDescent="0.35">
      <c r="A573" s="18" t="s">
        <v>666</v>
      </c>
      <c r="B573" s="8">
        <v>45613</v>
      </c>
      <c r="C573" s="23" t="s">
        <v>70</v>
      </c>
      <c r="D573" s="23" t="s">
        <v>110</v>
      </c>
      <c r="E573" s="23" t="s">
        <v>24</v>
      </c>
      <c r="F573" s="28">
        <v>2024</v>
      </c>
      <c r="G573" s="23" t="s">
        <v>25</v>
      </c>
      <c r="H573" s="23" t="s">
        <v>26</v>
      </c>
      <c r="I573" s="23" t="s">
        <v>27</v>
      </c>
      <c r="J573" s="46">
        <v>5000</v>
      </c>
      <c r="K573" s="4">
        <v>6</v>
      </c>
      <c r="L573" s="5">
        <v>0</v>
      </c>
      <c r="M573" s="46">
        <v>30000</v>
      </c>
      <c r="N573" s="46">
        <v>17569</v>
      </c>
      <c r="O573" s="46">
        <v>12431</v>
      </c>
      <c r="P573" s="6">
        <v>41.44</v>
      </c>
      <c r="Q573" s="33" t="s">
        <v>81</v>
      </c>
      <c r="R573" s="33" t="s">
        <v>45</v>
      </c>
      <c r="S573" s="33" t="s">
        <v>85</v>
      </c>
      <c r="T573" s="33" t="s">
        <v>31</v>
      </c>
      <c r="U573" s="39">
        <v>1</v>
      </c>
      <c r="V573" s="9"/>
    </row>
    <row r="574" spans="1:22" x14ac:dyDescent="0.35">
      <c r="A574" s="17" t="s">
        <v>667</v>
      </c>
      <c r="B574" s="7">
        <v>44980</v>
      </c>
      <c r="C574" s="22" t="s">
        <v>33</v>
      </c>
      <c r="D574" s="22" t="s">
        <v>74</v>
      </c>
      <c r="E574" s="22" t="s">
        <v>48</v>
      </c>
      <c r="F574" s="27">
        <v>2023</v>
      </c>
      <c r="G574" s="22" t="s">
        <v>36</v>
      </c>
      <c r="H574" s="22" t="s">
        <v>186</v>
      </c>
      <c r="I574" s="22" t="s">
        <v>55</v>
      </c>
      <c r="J574" s="45">
        <v>20000</v>
      </c>
      <c r="K574" s="1">
        <v>3</v>
      </c>
      <c r="L574" s="2">
        <v>20</v>
      </c>
      <c r="M574" s="45">
        <v>48000</v>
      </c>
      <c r="N574" s="45">
        <v>26637</v>
      </c>
      <c r="O574" s="45">
        <v>21363</v>
      </c>
      <c r="P574" s="3">
        <v>44.51</v>
      </c>
      <c r="Q574" s="32" t="s">
        <v>75</v>
      </c>
      <c r="R574" s="32" t="s">
        <v>76</v>
      </c>
      <c r="S574" s="32" t="s">
        <v>30</v>
      </c>
      <c r="T574" s="32" t="s">
        <v>41</v>
      </c>
      <c r="U574" s="38">
        <v>5</v>
      </c>
      <c r="V574" s="9"/>
    </row>
    <row r="575" spans="1:22" x14ac:dyDescent="0.35">
      <c r="A575" s="18" t="s">
        <v>668</v>
      </c>
      <c r="B575" s="8">
        <v>45520</v>
      </c>
      <c r="C575" s="23" t="s">
        <v>78</v>
      </c>
      <c r="D575" s="23" t="s">
        <v>108</v>
      </c>
      <c r="E575" s="23" t="s">
        <v>72</v>
      </c>
      <c r="F575" s="28">
        <v>2024</v>
      </c>
      <c r="G575" s="23" t="s">
        <v>61</v>
      </c>
      <c r="H575" s="23" t="s">
        <v>59</v>
      </c>
      <c r="I575" s="23" t="s">
        <v>50</v>
      </c>
      <c r="J575" s="46">
        <v>22000</v>
      </c>
      <c r="K575" s="4">
        <v>4</v>
      </c>
      <c r="L575" s="5">
        <v>15</v>
      </c>
      <c r="M575" s="46">
        <v>74800</v>
      </c>
      <c r="N575" s="46">
        <v>49747</v>
      </c>
      <c r="O575" s="46">
        <v>25053</v>
      </c>
      <c r="P575" s="6">
        <v>33.49</v>
      </c>
      <c r="Q575" s="33" t="s">
        <v>81</v>
      </c>
      <c r="R575" s="33" t="s">
        <v>56</v>
      </c>
      <c r="S575" s="33" t="s">
        <v>30</v>
      </c>
      <c r="T575" s="33" t="s">
        <v>31</v>
      </c>
      <c r="U575" s="39">
        <v>1</v>
      </c>
      <c r="V575" s="9"/>
    </row>
    <row r="576" spans="1:22" x14ac:dyDescent="0.35">
      <c r="A576" s="17" t="s">
        <v>669</v>
      </c>
      <c r="B576" s="7">
        <v>45169</v>
      </c>
      <c r="C576" s="22" t="s">
        <v>33</v>
      </c>
      <c r="D576" s="22" t="s">
        <v>108</v>
      </c>
      <c r="E576" s="22" t="s">
        <v>72</v>
      </c>
      <c r="F576" s="27">
        <v>2023</v>
      </c>
      <c r="G576" s="22" t="s">
        <v>25</v>
      </c>
      <c r="H576" s="22" t="s">
        <v>131</v>
      </c>
      <c r="I576" s="22" t="s">
        <v>63</v>
      </c>
      <c r="J576" s="45">
        <v>10000</v>
      </c>
      <c r="K576" s="1">
        <v>7</v>
      </c>
      <c r="L576" s="2">
        <v>0</v>
      </c>
      <c r="M576" s="45">
        <v>70000</v>
      </c>
      <c r="N576" s="45">
        <v>39375</v>
      </c>
      <c r="O576" s="45">
        <v>30625</v>
      </c>
      <c r="P576" s="3">
        <v>43.75</v>
      </c>
      <c r="Q576" s="32" t="s">
        <v>75</v>
      </c>
      <c r="R576" s="32" t="s">
        <v>67</v>
      </c>
      <c r="S576" s="32" t="s">
        <v>30</v>
      </c>
      <c r="T576" s="32" t="s">
        <v>31</v>
      </c>
      <c r="U576" s="38">
        <v>2</v>
      </c>
      <c r="V576" s="9"/>
    </row>
    <row r="577" spans="1:22" x14ac:dyDescent="0.35">
      <c r="A577" s="18" t="s">
        <v>670</v>
      </c>
      <c r="B577" s="8">
        <v>45551</v>
      </c>
      <c r="C577" s="23" t="s">
        <v>90</v>
      </c>
      <c r="D577" s="23" t="s">
        <v>79</v>
      </c>
      <c r="E577" s="23" t="s">
        <v>72</v>
      </c>
      <c r="F577" s="28">
        <v>2024</v>
      </c>
      <c r="G577" s="23" t="s">
        <v>36</v>
      </c>
      <c r="H577" s="23" t="s">
        <v>131</v>
      </c>
      <c r="I577" s="23" t="s">
        <v>63</v>
      </c>
      <c r="J577" s="46">
        <v>10000</v>
      </c>
      <c r="K577" s="4">
        <v>7</v>
      </c>
      <c r="L577" s="5">
        <v>0</v>
      </c>
      <c r="M577" s="46">
        <v>70000</v>
      </c>
      <c r="N577" s="46">
        <v>40123</v>
      </c>
      <c r="O577" s="46">
        <v>29877</v>
      </c>
      <c r="P577" s="6">
        <v>42.68</v>
      </c>
      <c r="Q577" s="33" t="s">
        <v>39</v>
      </c>
      <c r="R577" s="33" t="s">
        <v>45</v>
      </c>
      <c r="S577" s="33" t="s">
        <v>57</v>
      </c>
      <c r="T577" s="33" t="s">
        <v>41</v>
      </c>
      <c r="U577" s="39">
        <v>2</v>
      </c>
      <c r="V577" s="9"/>
    </row>
    <row r="578" spans="1:22" x14ac:dyDescent="0.35">
      <c r="A578" s="17" t="s">
        <v>671</v>
      </c>
      <c r="B578" s="7">
        <v>44959</v>
      </c>
      <c r="C578" s="22" t="s">
        <v>33</v>
      </c>
      <c r="D578" s="22" t="s">
        <v>74</v>
      </c>
      <c r="E578" s="22" t="s">
        <v>48</v>
      </c>
      <c r="F578" s="27">
        <v>2023</v>
      </c>
      <c r="G578" s="22" t="s">
        <v>36</v>
      </c>
      <c r="H578" s="22" t="s">
        <v>80</v>
      </c>
      <c r="I578" s="22" t="s">
        <v>55</v>
      </c>
      <c r="J578" s="45">
        <v>25000</v>
      </c>
      <c r="K578" s="1">
        <v>5</v>
      </c>
      <c r="L578" s="2">
        <v>0</v>
      </c>
      <c r="M578" s="45">
        <v>125000</v>
      </c>
      <c r="N578" s="45">
        <v>71111</v>
      </c>
      <c r="O578" s="45">
        <v>53889</v>
      </c>
      <c r="P578" s="3">
        <v>43.11</v>
      </c>
      <c r="Q578" s="32" t="s">
        <v>51</v>
      </c>
      <c r="R578" s="32" t="s">
        <v>67</v>
      </c>
      <c r="S578" s="32" t="s">
        <v>40</v>
      </c>
      <c r="T578" s="32" t="s">
        <v>41</v>
      </c>
      <c r="U578" s="38">
        <v>2</v>
      </c>
      <c r="V578" s="9"/>
    </row>
    <row r="579" spans="1:22" x14ac:dyDescent="0.35">
      <c r="A579" s="18" t="s">
        <v>672</v>
      </c>
      <c r="B579" s="8">
        <v>45229</v>
      </c>
      <c r="C579" s="23" t="s">
        <v>90</v>
      </c>
      <c r="D579" s="23" t="s">
        <v>23</v>
      </c>
      <c r="E579" s="23" t="s">
        <v>24</v>
      </c>
      <c r="F579" s="28">
        <v>2023</v>
      </c>
      <c r="G579" s="23" t="s">
        <v>25</v>
      </c>
      <c r="H579" s="23" t="s">
        <v>186</v>
      </c>
      <c r="I579" s="23" t="s">
        <v>55</v>
      </c>
      <c r="J579" s="46">
        <v>20000</v>
      </c>
      <c r="K579" s="4">
        <v>10</v>
      </c>
      <c r="L579" s="5">
        <v>0</v>
      </c>
      <c r="M579" s="46">
        <v>200000</v>
      </c>
      <c r="N579" s="46">
        <v>129656</v>
      </c>
      <c r="O579" s="46">
        <v>70344</v>
      </c>
      <c r="P579" s="6">
        <v>35.17</v>
      </c>
      <c r="Q579" s="33" t="s">
        <v>75</v>
      </c>
      <c r="R579" s="33" t="s">
        <v>56</v>
      </c>
      <c r="S579" s="33" t="s">
        <v>30</v>
      </c>
      <c r="T579" s="33" t="s">
        <v>41</v>
      </c>
      <c r="U579" s="39">
        <v>2</v>
      </c>
      <c r="V579" s="9"/>
    </row>
    <row r="580" spans="1:22" x14ac:dyDescent="0.35">
      <c r="A580" s="17" t="s">
        <v>673</v>
      </c>
      <c r="B580" s="7">
        <v>45532</v>
      </c>
      <c r="C580" s="22" t="s">
        <v>22</v>
      </c>
      <c r="D580" s="22" t="s">
        <v>108</v>
      </c>
      <c r="E580" s="22" t="s">
        <v>72</v>
      </c>
      <c r="F580" s="27">
        <v>2024</v>
      </c>
      <c r="G580" s="22" t="s">
        <v>25</v>
      </c>
      <c r="H580" s="22" t="s">
        <v>98</v>
      </c>
      <c r="I580" s="22" t="s">
        <v>63</v>
      </c>
      <c r="J580" s="45">
        <v>28000</v>
      </c>
      <c r="K580" s="1">
        <v>5</v>
      </c>
      <c r="L580" s="2">
        <v>0</v>
      </c>
      <c r="M580" s="45">
        <v>140000</v>
      </c>
      <c r="N580" s="45">
        <v>94374</v>
      </c>
      <c r="O580" s="45">
        <v>45626</v>
      </c>
      <c r="P580" s="3">
        <v>32.590000000000003</v>
      </c>
      <c r="Q580" s="32" t="s">
        <v>39</v>
      </c>
      <c r="R580" s="32" t="s">
        <v>56</v>
      </c>
      <c r="S580" s="32" t="s">
        <v>57</v>
      </c>
      <c r="T580" s="32" t="s">
        <v>31</v>
      </c>
      <c r="U580" s="38">
        <v>5</v>
      </c>
      <c r="V580" s="9"/>
    </row>
    <row r="581" spans="1:22" x14ac:dyDescent="0.35">
      <c r="A581" s="18" t="s">
        <v>674</v>
      </c>
      <c r="B581" s="8">
        <v>45079</v>
      </c>
      <c r="C581" s="23" t="s">
        <v>78</v>
      </c>
      <c r="D581" s="23" t="s">
        <v>87</v>
      </c>
      <c r="E581" s="23" t="s">
        <v>35</v>
      </c>
      <c r="F581" s="28">
        <v>2023</v>
      </c>
      <c r="G581" s="23" t="s">
        <v>25</v>
      </c>
      <c r="H581" s="23" t="s">
        <v>80</v>
      </c>
      <c r="I581" s="23" t="s">
        <v>55</v>
      </c>
      <c r="J581" s="46">
        <v>25000</v>
      </c>
      <c r="K581" s="4">
        <v>7</v>
      </c>
      <c r="L581" s="5">
        <v>0</v>
      </c>
      <c r="M581" s="46">
        <v>175000</v>
      </c>
      <c r="N581" s="46">
        <v>97442</v>
      </c>
      <c r="O581" s="46">
        <v>77558</v>
      </c>
      <c r="P581" s="6">
        <v>44.32</v>
      </c>
      <c r="Q581" s="33" t="s">
        <v>51</v>
      </c>
      <c r="R581" s="33" t="s">
        <v>29</v>
      </c>
      <c r="S581" s="33" t="s">
        <v>30</v>
      </c>
      <c r="T581" s="33" t="s">
        <v>41</v>
      </c>
      <c r="U581" s="39">
        <v>4</v>
      </c>
      <c r="V581" s="9"/>
    </row>
    <row r="582" spans="1:22" x14ac:dyDescent="0.35">
      <c r="A582" s="17" t="s">
        <v>675</v>
      </c>
      <c r="B582" s="7">
        <v>45640</v>
      </c>
      <c r="C582" s="22" t="s">
        <v>53</v>
      </c>
      <c r="D582" s="22" t="s">
        <v>97</v>
      </c>
      <c r="E582" s="22" t="s">
        <v>24</v>
      </c>
      <c r="F582" s="27">
        <v>2024</v>
      </c>
      <c r="G582" s="22" t="s">
        <v>36</v>
      </c>
      <c r="H582" s="22" t="s">
        <v>174</v>
      </c>
      <c r="I582" s="22" t="s">
        <v>27</v>
      </c>
      <c r="J582" s="45">
        <v>12000</v>
      </c>
      <c r="K582" s="1">
        <v>8</v>
      </c>
      <c r="L582" s="2">
        <v>0</v>
      </c>
      <c r="M582" s="45">
        <v>96000</v>
      </c>
      <c r="N582" s="45">
        <v>54156</v>
      </c>
      <c r="O582" s="45">
        <v>41844</v>
      </c>
      <c r="P582" s="3">
        <v>43.59</v>
      </c>
      <c r="Q582" s="32" t="s">
        <v>28</v>
      </c>
      <c r="R582" s="32" t="s">
        <v>67</v>
      </c>
      <c r="S582" s="32" t="s">
        <v>68</v>
      </c>
      <c r="T582" s="32" t="s">
        <v>41</v>
      </c>
      <c r="U582" s="38">
        <v>3</v>
      </c>
      <c r="V582" s="9"/>
    </row>
    <row r="583" spans="1:22" x14ac:dyDescent="0.35">
      <c r="A583" s="18" t="s">
        <v>676</v>
      </c>
      <c r="B583" s="8">
        <v>45171</v>
      </c>
      <c r="C583" s="23" t="s">
        <v>53</v>
      </c>
      <c r="D583" s="23" t="s">
        <v>79</v>
      </c>
      <c r="E583" s="23" t="s">
        <v>72</v>
      </c>
      <c r="F583" s="28">
        <v>2023</v>
      </c>
      <c r="G583" s="23" t="s">
        <v>43</v>
      </c>
      <c r="H583" s="23" t="s">
        <v>26</v>
      </c>
      <c r="I583" s="23" t="s">
        <v>27</v>
      </c>
      <c r="J583" s="46">
        <v>5000</v>
      </c>
      <c r="K583" s="4">
        <v>8</v>
      </c>
      <c r="L583" s="5">
        <v>15</v>
      </c>
      <c r="M583" s="46">
        <v>34000</v>
      </c>
      <c r="N583" s="46">
        <v>20462</v>
      </c>
      <c r="O583" s="46">
        <v>13538</v>
      </c>
      <c r="P583" s="6">
        <v>39.82</v>
      </c>
      <c r="Q583" s="33" t="s">
        <v>51</v>
      </c>
      <c r="R583" s="33" t="s">
        <v>29</v>
      </c>
      <c r="S583" s="33" t="s">
        <v>85</v>
      </c>
      <c r="T583" s="33" t="s">
        <v>41</v>
      </c>
      <c r="U583" s="39">
        <v>4</v>
      </c>
      <c r="V583" s="9"/>
    </row>
    <row r="584" spans="1:22" x14ac:dyDescent="0.35">
      <c r="A584" s="17" t="s">
        <v>677</v>
      </c>
      <c r="B584" s="7">
        <v>45068</v>
      </c>
      <c r="C584" s="22" t="s">
        <v>90</v>
      </c>
      <c r="D584" s="22" t="s">
        <v>116</v>
      </c>
      <c r="E584" s="22" t="s">
        <v>35</v>
      </c>
      <c r="F584" s="27">
        <v>2023</v>
      </c>
      <c r="G584" s="22" t="s">
        <v>61</v>
      </c>
      <c r="H584" s="22" t="s">
        <v>131</v>
      </c>
      <c r="I584" s="22" t="s">
        <v>63</v>
      </c>
      <c r="J584" s="45">
        <v>10000</v>
      </c>
      <c r="K584" s="1">
        <v>6</v>
      </c>
      <c r="L584" s="2">
        <v>15</v>
      </c>
      <c r="M584" s="45">
        <v>51000</v>
      </c>
      <c r="N584" s="45">
        <v>32075</v>
      </c>
      <c r="O584" s="45">
        <v>18925</v>
      </c>
      <c r="P584" s="3">
        <v>37.11</v>
      </c>
      <c r="Q584" s="32" t="s">
        <v>28</v>
      </c>
      <c r="R584" s="32" t="s">
        <v>76</v>
      </c>
      <c r="S584" s="32" t="s">
        <v>40</v>
      </c>
      <c r="T584" s="32" t="s">
        <v>31</v>
      </c>
      <c r="U584" s="38">
        <v>3</v>
      </c>
      <c r="V584" s="9"/>
    </row>
    <row r="585" spans="1:22" x14ac:dyDescent="0.35">
      <c r="A585" s="18" t="s">
        <v>678</v>
      </c>
      <c r="B585" s="8">
        <v>45363</v>
      </c>
      <c r="C585" s="23" t="s">
        <v>83</v>
      </c>
      <c r="D585" s="23" t="s">
        <v>65</v>
      </c>
      <c r="E585" s="23" t="s">
        <v>48</v>
      </c>
      <c r="F585" s="28">
        <v>2024</v>
      </c>
      <c r="G585" s="23" t="s">
        <v>43</v>
      </c>
      <c r="H585" s="23" t="s">
        <v>49</v>
      </c>
      <c r="I585" s="23" t="s">
        <v>50</v>
      </c>
      <c r="J585" s="46">
        <v>18000</v>
      </c>
      <c r="K585" s="4">
        <v>9</v>
      </c>
      <c r="L585" s="5">
        <v>10</v>
      </c>
      <c r="M585" s="46">
        <v>145800</v>
      </c>
      <c r="N585" s="46">
        <v>99882</v>
      </c>
      <c r="O585" s="46">
        <v>45918</v>
      </c>
      <c r="P585" s="6">
        <v>31.49</v>
      </c>
      <c r="Q585" s="33" t="s">
        <v>28</v>
      </c>
      <c r="R585" s="33" t="s">
        <v>29</v>
      </c>
      <c r="S585" s="33" t="s">
        <v>57</v>
      </c>
      <c r="T585" s="33" t="s">
        <v>41</v>
      </c>
      <c r="U585" s="39">
        <v>1</v>
      </c>
      <c r="V585" s="9"/>
    </row>
    <row r="586" spans="1:22" x14ac:dyDescent="0.35">
      <c r="A586" s="17" t="s">
        <v>679</v>
      </c>
      <c r="B586" s="7">
        <v>45040</v>
      </c>
      <c r="C586" s="22" t="s">
        <v>90</v>
      </c>
      <c r="D586" s="22" t="s">
        <v>34</v>
      </c>
      <c r="E586" s="22" t="s">
        <v>35</v>
      </c>
      <c r="F586" s="27">
        <v>2023</v>
      </c>
      <c r="G586" s="22" t="s">
        <v>43</v>
      </c>
      <c r="H586" s="22" t="s">
        <v>62</v>
      </c>
      <c r="I586" s="22" t="s">
        <v>63</v>
      </c>
      <c r="J586" s="45">
        <v>5000</v>
      </c>
      <c r="K586" s="1">
        <v>8</v>
      </c>
      <c r="L586" s="2">
        <v>10</v>
      </c>
      <c r="M586" s="45">
        <v>36000</v>
      </c>
      <c r="N586" s="45">
        <v>20050</v>
      </c>
      <c r="O586" s="45">
        <v>15950</v>
      </c>
      <c r="P586" s="3">
        <v>44.31</v>
      </c>
      <c r="Q586" s="32" t="s">
        <v>81</v>
      </c>
      <c r="R586" s="32" t="s">
        <v>56</v>
      </c>
      <c r="S586" s="32" t="s">
        <v>85</v>
      </c>
      <c r="T586" s="32" t="s">
        <v>31</v>
      </c>
      <c r="U586" s="38">
        <v>2</v>
      </c>
      <c r="V586" s="9"/>
    </row>
    <row r="587" spans="1:22" x14ac:dyDescent="0.35">
      <c r="A587" s="18" t="s">
        <v>680</v>
      </c>
      <c r="B587" s="8">
        <v>45269</v>
      </c>
      <c r="C587" s="23" t="s">
        <v>53</v>
      </c>
      <c r="D587" s="23" t="s">
        <v>97</v>
      </c>
      <c r="E587" s="23" t="s">
        <v>24</v>
      </c>
      <c r="F587" s="28">
        <v>2023</v>
      </c>
      <c r="G587" s="23" t="s">
        <v>61</v>
      </c>
      <c r="H587" s="23" t="s">
        <v>66</v>
      </c>
      <c r="I587" s="23" t="s">
        <v>38</v>
      </c>
      <c r="J587" s="46">
        <v>11000</v>
      </c>
      <c r="K587" s="4">
        <v>2</v>
      </c>
      <c r="L587" s="5">
        <v>15</v>
      </c>
      <c r="M587" s="46">
        <v>18700</v>
      </c>
      <c r="N587" s="46">
        <v>11806</v>
      </c>
      <c r="O587" s="46">
        <v>6894</v>
      </c>
      <c r="P587" s="6">
        <v>36.869999999999997</v>
      </c>
      <c r="Q587" s="33" t="s">
        <v>75</v>
      </c>
      <c r="R587" s="33" t="s">
        <v>56</v>
      </c>
      <c r="S587" s="33" t="s">
        <v>68</v>
      </c>
      <c r="T587" s="33" t="s">
        <v>41</v>
      </c>
      <c r="U587" s="39">
        <v>3</v>
      </c>
      <c r="V587" s="9"/>
    </row>
    <row r="588" spans="1:22" x14ac:dyDescent="0.35">
      <c r="A588" s="17" t="s">
        <v>681</v>
      </c>
      <c r="B588" s="7">
        <v>45442</v>
      </c>
      <c r="C588" s="22" t="s">
        <v>33</v>
      </c>
      <c r="D588" s="22" t="s">
        <v>116</v>
      </c>
      <c r="E588" s="22" t="s">
        <v>35</v>
      </c>
      <c r="F588" s="27">
        <v>2024</v>
      </c>
      <c r="G588" s="22" t="s">
        <v>43</v>
      </c>
      <c r="H588" s="22" t="s">
        <v>62</v>
      </c>
      <c r="I588" s="22" t="s">
        <v>63</v>
      </c>
      <c r="J588" s="45">
        <v>5000</v>
      </c>
      <c r="K588" s="1">
        <v>1</v>
      </c>
      <c r="L588" s="2">
        <v>0</v>
      </c>
      <c r="M588" s="45">
        <v>5000</v>
      </c>
      <c r="N588" s="45">
        <v>3067</v>
      </c>
      <c r="O588" s="45">
        <v>1933</v>
      </c>
      <c r="P588" s="3">
        <v>38.659999999999997</v>
      </c>
      <c r="Q588" s="32" t="s">
        <v>51</v>
      </c>
      <c r="R588" s="32" t="s">
        <v>67</v>
      </c>
      <c r="S588" s="32" t="s">
        <v>85</v>
      </c>
      <c r="T588" s="32" t="s">
        <v>41</v>
      </c>
      <c r="U588" s="38">
        <v>5</v>
      </c>
      <c r="V588" s="9"/>
    </row>
    <row r="589" spans="1:22" x14ac:dyDescent="0.35">
      <c r="A589" s="18" t="s">
        <v>682</v>
      </c>
      <c r="B589" s="8">
        <v>45621</v>
      </c>
      <c r="C589" s="23" t="s">
        <v>90</v>
      </c>
      <c r="D589" s="23" t="s">
        <v>110</v>
      </c>
      <c r="E589" s="23" t="s">
        <v>24</v>
      </c>
      <c r="F589" s="28">
        <v>2024</v>
      </c>
      <c r="G589" s="23" t="s">
        <v>43</v>
      </c>
      <c r="H589" s="23" t="s">
        <v>54</v>
      </c>
      <c r="I589" s="23" t="s">
        <v>55</v>
      </c>
      <c r="J589" s="46">
        <v>18000</v>
      </c>
      <c r="K589" s="4">
        <v>8</v>
      </c>
      <c r="L589" s="5">
        <v>10</v>
      </c>
      <c r="M589" s="46">
        <v>129600</v>
      </c>
      <c r="N589" s="46">
        <v>79391</v>
      </c>
      <c r="O589" s="46">
        <v>50209</v>
      </c>
      <c r="P589" s="6">
        <v>38.74</v>
      </c>
      <c r="Q589" s="33" t="s">
        <v>28</v>
      </c>
      <c r="R589" s="33" t="s">
        <v>56</v>
      </c>
      <c r="S589" s="33" t="s">
        <v>40</v>
      </c>
      <c r="T589" s="33" t="s">
        <v>31</v>
      </c>
      <c r="U589" s="39">
        <v>4</v>
      </c>
      <c r="V589" s="9"/>
    </row>
    <row r="590" spans="1:22" x14ac:dyDescent="0.35">
      <c r="A590" s="17" t="s">
        <v>683</v>
      </c>
      <c r="B590" s="7">
        <v>45110</v>
      </c>
      <c r="C590" s="22" t="s">
        <v>90</v>
      </c>
      <c r="D590" s="22" t="s">
        <v>71</v>
      </c>
      <c r="E590" s="22" t="s">
        <v>72</v>
      </c>
      <c r="F590" s="27">
        <v>2023</v>
      </c>
      <c r="G590" s="22" t="s">
        <v>36</v>
      </c>
      <c r="H590" s="22" t="s">
        <v>117</v>
      </c>
      <c r="I590" s="22" t="s">
        <v>50</v>
      </c>
      <c r="J590" s="45">
        <v>8000</v>
      </c>
      <c r="K590" s="1">
        <v>2</v>
      </c>
      <c r="L590" s="2">
        <v>0</v>
      </c>
      <c r="M590" s="45">
        <v>16000</v>
      </c>
      <c r="N590" s="45">
        <v>9551</v>
      </c>
      <c r="O590" s="45">
        <v>6449</v>
      </c>
      <c r="P590" s="3">
        <v>40.31</v>
      </c>
      <c r="Q590" s="32" t="s">
        <v>39</v>
      </c>
      <c r="R590" s="32" t="s">
        <v>67</v>
      </c>
      <c r="S590" s="32" t="s">
        <v>68</v>
      </c>
      <c r="T590" s="32" t="s">
        <v>31</v>
      </c>
      <c r="U590" s="38">
        <v>3</v>
      </c>
      <c r="V590" s="9"/>
    </row>
    <row r="591" spans="1:22" x14ac:dyDescent="0.35">
      <c r="A591" s="18" t="s">
        <v>684</v>
      </c>
      <c r="B591" s="8">
        <v>45353</v>
      </c>
      <c r="C591" s="23" t="s">
        <v>53</v>
      </c>
      <c r="D591" s="23" t="s">
        <v>65</v>
      </c>
      <c r="E591" s="23" t="s">
        <v>48</v>
      </c>
      <c r="F591" s="28">
        <v>2024</v>
      </c>
      <c r="G591" s="23" t="s">
        <v>43</v>
      </c>
      <c r="H591" s="23" t="s">
        <v>186</v>
      </c>
      <c r="I591" s="23" t="s">
        <v>55</v>
      </c>
      <c r="J591" s="46">
        <v>20000</v>
      </c>
      <c r="K591" s="4">
        <v>8</v>
      </c>
      <c r="L591" s="5">
        <v>0</v>
      </c>
      <c r="M591" s="46">
        <v>160000</v>
      </c>
      <c r="N591" s="46">
        <v>99428</v>
      </c>
      <c r="O591" s="46">
        <v>60572</v>
      </c>
      <c r="P591" s="6">
        <v>37.86</v>
      </c>
      <c r="Q591" s="33" t="s">
        <v>28</v>
      </c>
      <c r="R591" s="33" t="s">
        <v>45</v>
      </c>
      <c r="S591" s="33" t="s">
        <v>68</v>
      </c>
      <c r="T591" s="33" t="s">
        <v>31</v>
      </c>
      <c r="U591" s="39">
        <v>2</v>
      </c>
      <c r="V591" s="9"/>
    </row>
    <row r="592" spans="1:22" x14ac:dyDescent="0.35">
      <c r="A592" s="17" t="s">
        <v>685</v>
      </c>
      <c r="B592" s="7">
        <v>45459</v>
      </c>
      <c r="C592" s="22" t="s">
        <v>70</v>
      </c>
      <c r="D592" s="22" t="s">
        <v>87</v>
      </c>
      <c r="E592" s="22" t="s">
        <v>35</v>
      </c>
      <c r="F592" s="27">
        <v>2024</v>
      </c>
      <c r="G592" s="22" t="s">
        <v>25</v>
      </c>
      <c r="H592" s="22" t="s">
        <v>59</v>
      </c>
      <c r="I592" s="22" t="s">
        <v>50</v>
      </c>
      <c r="J592" s="45">
        <v>22000</v>
      </c>
      <c r="K592" s="1">
        <v>10</v>
      </c>
      <c r="L592" s="2">
        <v>0</v>
      </c>
      <c r="M592" s="45">
        <v>220000</v>
      </c>
      <c r="N592" s="45">
        <v>145525</v>
      </c>
      <c r="O592" s="45">
        <v>74475</v>
      </c>
      <c r="P592" s="3">
        <v>33.85</v>
      </c>
      <c r="Q592" s="32" t="s">
        <v>81</v>
      </c>
      <c r="R592" s="32" t="s">
        <v>67</v>
      </c>
      <c r="S592" s="32" t="s">
        <v>85</v>
      </c>
      <c r="T592" s="32" t="s">
        <v>41</v>
      </c>
      <c r="U592" s="38">
        <v>3</v>
      </c>
      <c r="V592" s="9"/>
    </row>
    <row r="593" spans="1:22" x14ac:dyDescent="0.35">
      <c r="A593" s="18" t="s">
        <v>686</v>
      </c>
      <c r="B593" s="8">
        <v>45507</v>
      </c>
      <c r="C593" s="23" t="s">
        <v>53</v>
      </c>
      <c r="D593" s="23" t="s">
        <v>108</v>
      </c>
      <c r="E593" s="23" t="s">
        <v>72</v>
      </c>
      <c r="F593" s="28">
        <v>2024</v>
      </c>
      <c r="G593" s="23" t="s">
        <v>43</v>
      </c>
      <c r="H593" s="23" t="s">
        <v>123</v>
      </c>
      <c r="I593" s="23" t="s">
        <v>38</v>
      </c>
      <c r="J593" s="46">
        <v>14000</v>
      </c>
      <c r="K593" s="4">
        <v>3</v>
      </c>
      <c r="L593" s="5">
        <v>20</v>
      </c>
      <c r="M593" s="46">
        <v>33600</v>
      </c>
      <c r="N593" s="46">
        <v>19965</v>
      </c>
      <c r="O593" s="46">
        <v>13635</v>
      </c>
      <c r="P593" s="6">
        <v>40.58</v>
      </c>
      <c r="Q593" s="33" t="s">
        <v>51</v>
      </c>
      <c r="R593" s="33" t="s">
        <v>45</v>
      </c>
      <c r="S593" s="33" t="s">
        <v>57</v>
      </c>
      <c r="T593" s="33" t="s">
        <v>31</v>
      </c>
      <c r="U593" s="39">
        <v>3</v>
      </c>
      <c r="V593" s="9"/>
    </row>
    <row r="594" spans="1:22" x14ac:dyDescent="0.35">
      <c r="A594" s="17" t="s">
        <v>687</v>
      </c>
      <c r="B594" s="7">
        <v>45218</v>
      </c>
      <c r="C594" s="22" t="s">
        <v>33</v>
      </c>
      <c r="D594" s="22" t="s">
        <v>23</v>
      </c>
      <c r="E594" s="22" t="s">
        <v>24</v>
      </c>
      <c r="F594" s="27">
        <v>2023</v>
      </c>
      <c r="G594" s="22" t="s">
        <v>36</v>
      </c>
      <c r="H594" s="22" t="s">
        <v>131</v>
      </c>
      <c r="I594" s="22" t="s">
        <v>63</v>
      </c>
      <c r="J594" s="45">
        <v>10000</v>
      </c>
      <c r="K594" s="1">
        <v>10</v>
      </c>
      <c r="L594" s="2">
        <v>0</v>
      </c>
      <c r="M594" s="45">
        <v>100000</v>
      </c>
      <c r="N594" s="45">
        <v>67101</v>
      </c>
      <c r="O594" s="45">
        <v>32899</v>
      </c>
      <c r="P594" s="3">
        <v>32.9</v>
      </c>
      <c r="Q594" s="32" t="s">
        <v>81</v>
      </c>
      <c r="R594" s="32" t="s">
        <v>56</v>
      </c>
      <c r="S594" s="32" t="s">
        <v>68</v>
      </c>
      <c r="T594" s="32" t="s">
        <v>31</v>
      </c>
      <c r="U594" s="38">
        <v>2</v>
      </c>
      <c r="V594" s="9"/>
    </row>
    <row r="595" spans="1:22" x14ac:dyDescent="0.35">
      <c r="A595" s="18" t="s">
        <v>688</v>
      </c>
      <c r="B595" s="8">
        <v>45046</v>
      </c>
      <c r="C595" s="23" t="s">
        <v>70</v>
      </c>
      <c r="D595" s="23" t="s">
        <v>34</v>
      </c>
      <c r="E595" s="23" t="s">
        <v>35</v>
      </c>
      <c r="F595" s="28">
        <v>2023</v>
      </c>
      <c r="G595" s="23" t="s">
        <v>43</v>
      </c>
      <c r="H595" s="23" t="s">
        <v>84</v>
      </c>
      <c r="I595" s="23" t="s">
        <v>27</v>
      </c>
      <c r="J595" s="46">
        <v>8000</v>
      </c>
      <c r="K595" s="4">
        <v>10</v>
      </c>
      <c r="L595" s="5">
        <v>0</v>
      </c>
      <c r="M595" s="46">
        <v>80000</v>
      </c>
      <c r="N595" s="46">
        <v>49996</v>
      </c>
      <c r="O595" s="46">
        <v>30004</v>
      </c>
      <c r="P595" s="6">
        <v>37.51</v>
      </c>
      <c r="Q595" s="33" t="s">
        <v>81</v>
      </c>
      <c r="R595" s="33" t="s">
        <v>56</v>
      </c>
      <c r="S595" s="33" t="s">
        <v>68</v>
      </c>
      <c r="T595" s="33" t="s">
        <v>41</v>
      </c>
      <c r="U595" s="39">
        <v>3</v>
      </c>
      <c r="V595" s="9"/>
    </row>
    <row r="596" spans="1:22" x14ac:dyDescent="0.35">
      <c r="A596" s="17" t="s">
        <v>689</v>
      </c>
      <c r="B596" s="7">
        <v>45078</v>
      </c>
      <c r="C596" s="22" t="s">
        <v>33</v>
      </c>
      <c r="D596" s="22" t="s">
        <v>87</v>
      </c>
      <c r="E596" s="22" t="s">
        <v>35</v>
      </c>
      <c r="F596" s="27">
        <v>2023</v>
      </c>
      <c r="G596" s="22" t="s">
        <v>25</v>
      </c>
      <c r="H596" s="22" t="s">
        <v>59</v>
      </c>
      <c r="I596" s="22" t="s">
        <v>50</v>
      </c>
      <c r="J596" s="45">
        <v>22000</v>
      </c>
      <c r="K596" s="1">
        <v>9</v>
      </c>
      <c r="L596" s="2">
        <v>0</v>
      </c>
      <c r="M596" s="45">
        <v>198000</v>
      </c>
      <c r="N596" s="45">
        <v>126862</v>
      </c>
      <c r="O596" s="45">
        <v>71138</v>
      </c>
      <c r="P596" s="3">
        <v>35.93</v>
      </c>
      <c r="Q596" s="32" t="s">
        <v>28</v>
      </c>
      <c r="R596" s="32" t="s">
        <v>76</v>
      </c>
      <c r="S596" s="32" t="s">
        <v>40</v>
      </c>
      <c r="T596" s="32" t="s">
        <v>31</v>
      </c>
      <c r="U596" s="38">
        <v>4</v>
      </c>
      <c r="V596" s="9"/>
    </row>
    <row r="597" spans="1:22" x14ac:dyDescent="0.35">
      <c r="A597" s="18" t="s">
        <v>690</v>
      </c>
      <c r="B597" s="8">
        <v>45254</v>
      </c>
      <c r="C597" s="23" t="s">
        <v>78</v>
      </c>
      <c r="D597" s="23" t="s">
        <v>110</v>
      </c>
      <c r="E597" s="23" t="s">
        <v>24</v>
      </c>
      <c r="F597" s="28">
        <v>2023</v>
      </c>
      <c r="G597" s="23" t="s">
        <v>36</v>
      </c>
      <c r="H597" s="23" t="s">
        <v>106</v>
      </c>
      <c r="I597" s="23" t="s">
        <v>38</v>
      </c>
      <c r="J597" s="46">
        <v>12000</v>
      </c>
      <c r="K597" s="4">
        <v>9</v>
      </c>
      <c r="L597" s="5">
        <v>10</v>
      </c>
      <c r="M597" s="46">
        <v>97200</v>
      </c>
      <c r="N597" s="46">
        <v>58934</v>
      </c>
      <c r="O597" s="46">
        <v>38266</v>
      </c>
      <c r="P597" s="6">
        <v>39.369999999999997</v>
      </c>
      <c r="Q597" s="33" t="s">
        <v>81</v>
      </c>
      <c r="R597" s="33" t="s">
        <v>67</v>
      </c>
      <c r="S597" s="33" t="s">
        <v>57</v>
      </c>
      <c r="T597" s="33" t="s">
        <v>41</v>
      </c>
      <c r="U597" s="39">
        <v>3</v>
      </c>
      <c r="V597" s="9"/>
    </row>
    <row r="598" spans="1:22" x14ac:dyDescent="0.35">
      <c r="A598" s="17" t="s">
        <v>691</v>
      </c>
      <c r="B598" s="7">
        <v>45632</v>
      </c>
      <c r="C598" s="22" t="s">
        <v>78</v>
      </c>
      <c r="D598" s="22" t="s">
        <v>97</v>
      </c>
      <c r="E598" s="22" t="s">
        <v>24</v>
      </c>
      <c r="F598" s="27">
        <v>2024</v>
      </c>
      <c r="G598" s="22" t="s">
        <v>25</v>
      </c>
      <c r="H598" s="22" t="s">
        <v>174</v>
      </c>
      <c r="I598" s="22" t="s">
        <v>27</v>
      </c>
      <c r="J598" s="45">
        <v>12000</v>
      </c>
      <c r="K598" s="1">
        <v>1</v>
      </c>
      <c r="L598" s="2">
        <v>0</v>
      </c>
      <c r="M598" s="45">
        <v>12000</v>
      </c>
      <c r="N598" s="45">
        <v>7983</v>
      </c>
      <c r="O598" s="45">
        <v>4017</v>
      </c>
      <c r="P598" s="3">
        <v>33.479999999999997</v>
      </c>
      <c r="Q598" s="32" t="s">
        <v>28</v>
      </c>
      <c r="R598" s="32" t="s">
        <v>45</v>
      </c>
      <c r="S598" s="32" t="s">
        <v>30</v>
      </c>
      <c r="T598" s="32" t="s">
        <v>31</v>
      </c>
      <c r="U598" s="38">
        <v>4</v>
      </c>
      <c r="V598" s="9"/>
    </row>
    <row r="599" spans="1:22" x14ac:dyDescent="0.35">
      <c r="A599" s="18" t="s">
        <v>692</v>
      </c>
      <c r="B599" s="8">
        <v>45292</v>
      </c>
      <c r="C599" s="23" t="s">
        <v>90</v>
      </c>
      <c r="D599" s="23" t="s">
        <v>47</v>
      </c>
      <c r="E599" s="23" t="s">
        <v>48</v>
      </c>
      <c r="F599" s="28">
        <v>2024</v>
      </c>
      <c r="G599" s="23" t="s">
        <v>61</v>
      </c>
      <c r="H599" s="23" t="s">
        <v>84</v>
      </c>
      <c r="I599" s="23" t="s">
        <v>27</v>
      </c>
      <c r="J599" s="46">
        <v>8000</v>
      </c>
      <c r="K599" s="4">
        <v>1</v>
      </c>
      <c r="L599" s="5">
        <v>10</v>
      </c>
      <c r="M599" s="46">
        <v>7200</v>
      </c>
      <c r="N599" s="46">
        <v>4745</v>
      </c>
      <c r="O599" s="46">
        <v>2455</v>
      </c>
      <c r="P599" s="6">
        <v>34.1</v>
      </c>
      <c r="Q599" s="33" t="s">
        <v>75</v>
      </c>
      <c r="R599" s="33" t="s">
        <v>29</v>
      </c>
      <c r="S599" s="33" t="s">
        <v>68</v>
      </c>
      <c r="T599" s="33" t="s">
        <v>31</v>
      </c>
      <c r="U599" s="39">
        <v>1</v>
      </c>
      <c r="V599" s="9"/>
    </row>
    <row r="600" spans="1:22" x14ac:dyDescent="0.35">
      <c r="A600" s="17" t="s">
        <v>693</v>
      </c>
      <c r="B600" s="7">
        <v>45012</v>
      </c>
      <c r="C600" s="22" t="s">
        <v>90</v>
      </c>
      <c r="D600" s="22" t="s">
        <v>65</v>
      </c>
      <c r="E600" s="22" t="s">
        <v>48</v>
      </c>
      <c r="F600" s="27">
        <v>2023</v>
      </c>
      <c r="G600" s="22" t="s">
        <v>43</v>
      </c>
      <c r="H600" s="22" t="s">
        <v>126</v>
      </c>
      <c r="I600" s="22" t="s">
        <v>55</v>
      </c>
      <c r="J600" s="45">
        <v>12000</v>
      </c>
      <c r="K600" s="1">
        <v>2</v>
      </c>
      <c r="L600" s="2">
        <v>10</v>
      </c>
      <c r="M600" s="45">
        <v>21600</v>
      </c>
      <c r="N600" s="45">
        <v>13328</v>
      </c>
      <c r="O600" s="45">
        <v>8272</v>
      </c>
      <c r="P600" s="3">
        <v>38.299999999999997</v>
      </c>
      <c r="Q600" s="32" t="s">
        <v>51</v>
      </c>
      <c r="R600" s="32" t="s">
        <v>45</v>
      </c>
      <c r="S600" s="32" t="s">
        <v>85</v>
      </c>
      <c r="T600" s="32" t="s">
        <v>41</v>
      </c>
      <c r="U600" s="38">
        <v>4</v>
      </c>
      <c r="V600" s="9"/>
    </row>
    <row r="601" spans="1:22" x14ac:dyDescent="0.35">
      <c r="A601" s="18" t="s">
        <v>694</v>
      </c>
      <c r="B601" s="8">
        <v>45078</v>
      </c>
      <c r="C601" s="23" t="s">
        <v>33</v>
      </c>
      <c r="D601" s="23" t="s">
        <v>87</v>
      </c>
      <c r="E601" s="23" t="s">
        <v>35</v>
      </c>
      <c r="F601" s="28">
        <v>2023</v>
      </c>
      <c r="G601" s="23" t="s">
        <v>25</v>
      </c>
      <c r="H601" s="23" t="s">
        <v>62</v>
      </c>
      <c r="I601" s="23" t="s">
        <v>63</v>
      </c>
      <c r="J601" s="46">
        <v>5000</v>
      </c>
      <c r="K601" s="4">
        <v>7</v>
      </c>
      <c r="L601" s="5">
        <v>0</v>
      </c>
      <c r="M601" s="46">
        <v>35000</v>
      </c>
      <c r="N601" s="46">
        <v>19323</v>
      </c>
      <c r="O601" s="46">
        <v>15677</v>
      </c>
      <c r="P601" s="6">
        <v>44.79</v>
      </c>
      <c r="Q601" s="33" t="s">
        <v>81</v>
      </c>
      <c r="R601" s="33" t="s">
        <v>45</v>
      </c>
      <c r="S601" s="33" t="s">
        <v>57</v>
      </c>
      <c r="T601" s="33" t="s">
        <v>31</v>
      </c>
      <c r="U601" s="39">
        <v>2</v>
      </c>
      <c r="V601" s="9"/>
    </row>
    <row r="602" spans="1:22" x14ac:dyDescent="0.35">
      <c r="A602" s="17" t="s">
        <v>695</v>
      </c>
      <c r="B602" s="7">
        <v>45381</v>
      </c>
      <c r="C602" s="22" t="s">
        <v>53</v>
      </c>
      <c r="D602" s="22" t="s">
        <v>65</v>
      </c>
      <c r="E602" s="22" t="s">
        <v>48</v>
      </c>
      <c r="F602" s="27">
        <v>2024</v>
      </c>
      <c r="G602" s="22" t="s">
        <v>43</v>
      </c>
      <c r="H602" s="22" t="s">
        <v>98</v>
      </c>
      <c r="I602" s="22" t="s">
        <v>63</v>
      </c>
      <c r="J602" s="45">
        <v>28000</v>
      </c>
      <c r="K602" s="1">
        <v>5</v>
      </c>
      <c r="L602" s="2">
        <v>0</v>
      </c>
      <c r="M602" s="45">
        <v>140000</v>
      </c>
      <c r="N602" s="45">
        <v>96175</v>
      </c>
      <c r="O602" s="45">
        <v>43825</v>
      </c>
      <c r="P602" s="3">
        <v>31.3</v>
      </c>
      <c r="Q602" s="32" t="s">
        <v>51</v>
      </c>
      <c r="R602" s="32" t="s">
        <v>67</v>
      </c>
      <c r="S602" s="32" t="s">
        <v>68</v>
      </c>
      <c r="T602" s="32" t="s">
        <v>31</v>
      </c>
      <c r="U602" s="38">
        <v>2</v>
      </c>
      <c r="V602" s="9"/>
    </row>
    <row r="603" spans="1:22" x14ac:dyDescent="0.35">
      <c r="A603" s="18" t="s">
        <v>696</v>
      </c>
      <c r="B603" s="8">
        <v>45237</v>
      </c>
      <c r="C603" s="23" t="s">
        <v>83</v>
      </c>
      <c r="D603" s="23" t="s">
        <v>110</v>
      </c>
      <c r="E603" s="23" t="s">
        <v>24</v>
      </c>
      <c r="F603" s="28">
        <v>2023</v>
      </c>
      <c r="G603" s="23" t="s">
        <v>43</v>
      </c>
      <c r="H603" s="23" t="s">
        <v>119</v>
      </c>
      <c r="I603" s="23" t="s">
        <v>63</v>
      </c>
      <c r="J603" s="46">
        <v>16000</v>
      </c>
      <c r="K603" s="4">
        <v>6</v>
      </c>
      <c r="L603" s="5">
        <v>0</v>
      </c>
      <c r="M603" s="46">
        <v>96000</v>
      </c>
      <c r="N603" s="46">
        <v>68029</v>
      </c>
      <c r="O603" s="46">
        <v>27971</v>
      </c>
      <c r="P603" s="6">
        <v>29.14</v>
      </c>
      <c r="Q603" s="33" t="s">
        <v>75</v>
      </c>
      <c r="R603" s="33" t="s">
        <v>67</v>
      </c>
      <c r="S603" s="33" t="s">
        <v>30</v>
      </c>
      <c r="T603" s="33" t="s">
        <v>41</v>
      </c>
      <c r="U603" s="39">
        <v>3</v>
      </c>
      <c r="V603" s="9"/>
    </row>
    <row r="604" spans="1:22" x14ac:dyDescent="0.35">
      <c r="A604" s="17" t="s">
        <v>697</v>
      </c>
      <c r="B604" s="7">
        <v>45351</v>
      </c>
      <c r="C604" s="22" t="s">
        <v>33</v>
      </c>
      <c r="D604" s="22" t="s">
        <v>74</v>
      </c>
      <c r="E604" s="22" t="s">
        <v>48</v>
      </c>
      <c r="F604" s="27">
        <v>2024</v>
      </c>
      <c r="G604" s="22" t="s">
        <v>25</v>
      </c>
      <c r="H604" s="22" t="s">
        <v>66</v>
      </c>
      <c r="I604" s="22" t="s">
        <v>38</v>
      </c>
      <c r="J604" s="45">
        <v>11000</v>
      </c>
      <c r="K604" s="1">
        <v>8</v>
      </c>
      <c r="L604" s="2">
        <v>15</v>
      </c>
      <c r="M604" s="45">
        <v>74800</v>
      </c>
      <c r="N604" s="45">
        <v>48362</v>
      </c>
      <c r="O604" s="45">
        <v>26438</v>
      </c>
      <c r="P604" s="3">
        <v>35.340000000000003</v>
      </c>
      <c r="Q604" s="32" t="s">
        <v>39</v>
      </c>
      <c r="R604" s="32" t="s">
        <v>56</v>
      </c>
      <c r="S604" s="32" t="s">
        <v>68</v>
      </c>
      <c r="T604" s="32" t="s">
        <v>41</v>
      </c>
      <c r="U604" s="38">
        <v>5</v>
      </c>
      <c r="V604" s="9"/>
    </row>
    <row r="605" spans="1:22" x14ac:dyDescent="0.35">
      <c r="A605" s="18" t="s">
        <v>698</v>
      </c>
      <c r="B605" s="8">
        <v>45429</v>
      </c>
      <c r="C605" s="23" t="s">
        <v>78</v>
      </c>
      <c r="D605" s="23" t="s">
        <v>116</v>
      </c>
      <c r="E605" s="23" t="s">
        <v>35</v>
      </c>
      <c r="F605" s="28">
        <v>2024</v>
      </c>
      <c r="G605" s="23" t="s">
        <v>43</v>
      </c>
      <c r="H605" s="23" t="s">
        <v>84</v>
      </c>
      <c r="I605" s="23" t="s">
        <v>27</v>
      </c>
      <c r="J605" s="46">
        <v>8000</v>
      </c>
      <c r="K605" s="4">
        <v>10</v>
      </c>
      <c r="L605" s="5">
        <v>0</v>
      </c>
      <c r="M605" s="46">
        <v>80000</v>
      </c>
      <c r="N605" s="46">
        <v>50720</v>
      </c>
      <c r="O605" s="46">
        <v>29280</v>
      </c>
      <c r="P605" s="6">
        <v>36.6</v>
      </c>
      <c r="Q605" s="33" t="s">
        <v>51</v>
      </c>
      <c r="R605" s="33" t="s">
        <v>56</v>
      </c>
      <c r="S605" s="33" t="s">
        <v>30</v>
      </c>
      <c r="T605" s="33" t="s">
        <v>31</v>
      </c>
      <c r="U605" s="39">
        <v>3</v>
      </c>
      <c r="V605" s="9"/>
    </row>
    <row r="606" spans="1:22" x14ac:dyDescent="0.35">
      <c r="A606" s="17" t="s">
        <v>699</v>
      </c>
      <c r="B606" s="7">
        <v>45234</v>
      </c>
      <c r="C606" s="22" t="s">
        <v>53</v>
      </c>
      <c r="D606" s="22" t="s">
        <v>110</v>
      </c>
      <c r="E606" s="22" t="s">
        <v>24</v>
      </c>
      <c r="F606" s="27">
        <v>2023</v>
      </c>
      <c r="G606" s="22" t="s">
        <v>61</v>
      </c>
      <c r="H606" s="22" t="s">
        <v>93</v>
      </c>
      <c r="I606" s="22" t="s">
        <v>63</v>
      </c>
      <c r="J606" s="45">
        <v>14000</v>
      </c>
      <c r="K606" s="1">
        <v>5</v>
      </c>
      <c r="L606" s="2">
        <v>5</v>
      </c>
      <c r="M606" s="45">
        <v>66500</v>
      </c>
      <c r="N606" s="45">
        <v>38603</v>
      </c>
      <c r="O606" s="45">
        <v>27897</v>
      </c>
      <c r="P606" s="3">
        <v>41.95</v>
      </c>
      <c r="Q606" s="32" t="s">
        <v>39</v>
      </c>
      <c r="R606" s="32" t="s">
        <v>76</v>
      </c>
      <c r="S606" s="32" t="s">
        <v>30</v>
      </c>
      <c r="T606" s="32" t="s">
        <v>41</v>
      </c>
      <c r="U606" s="38">
        <v>1</v>
      </c>
      <c r="V606" s="9"/>
    </row>
    <row r="607" spans="1:22" x14ac:dyDescent="0.35">
      <c r="A607" s="18" t="s">
        <v>700</v>
      </c>
      <c r="B607" s="8">
        <v>45540</v>
      </c>
      <c r="C607" s="23" t="s">
        <v>33</v>
      </c>
      <c r="D607" s="23" t="s">
        <v>79</v>
      </c>
      <c r="E607" s="23" t="s">
        <v>72</v>
      </c>
      <c r="F607" s="28">
        <v>2024</v>
      </c>
      <c r="G607" s="23" t="s">
        <v>61</v>
      </c>
      <c r="H607" s="23" t="s">
        <v>49</v>
      </c>
      <c r="I607" s="23" t="s">
        <v>50</v>
      </c>
      <c r="J607" s="46">
        <v>18000</v>
      </c>
      <c r="K607" s="4">
        <v>8</v>
      </c>
      <c r="L607" s="5">
        <v>10</v>
      </c>
      <c r="M607" s="46">
        <v>129600</v>
      </c>
      <c r="N607" s="46">
        <v>80887</v>
      </c>
      <c r="O607" s="46">
        <v>48713</v>
      </c>
      <c r="P607" s="6">
        <v>37.590000000000003</v>
      </c>
      <c r="Q607" s="33" t="s">
        <v>81</v>
      </c>
      <c r="R607" s="33" t="s">
        <v>67</v>
      </c>
      <c r="S607" s="33" t="s">
        <v>30</v>
      </c>
      <c r="T607" s="33" t="s">
        <v>31</v>
      </c>
      <c r="U607" s="39">
        <v>3</v>
      </c>
      <c r="V607" s="9"/>
    </row>
    <row r="608" spans="1:22" x14ac:dyDescent="0.35">
      <c r="A608" s="17" t="s">
        <v>701</v>
      </c>
      <c r="B608" s="7">
        <v>45093</v>
      </c>
      <c r="C608" s="22" t="s">
        <v>78</v>
      </c>
      <c r="D608" s="22" t="s">
        <v>87</v>
      </c>
      <c r="E608" s="22" t="s">
        <v>35</v>
      </c>
      <c r="F608" s="27">
        <v>2023</v>
      </c>
      <c r="G608" s="22" t="s">
        <v>43</v>
      </c>
      <c r="H608" s="22" t="s">
        <v>80</v>
      </c>
      <c r="I608" s="22" t="s">
        <v>55</v>
      </c>
      <c r="J608" s="45">
        <v>25000</v>
      </c>
      <c r="K608" s="1">
        <v>3</v>
      </c>
      <c r="L608" s="2">
        <v>0</v>
      </c>
      <c r="M608" s="45">
        <v>75000</v>
      </c>
      <c r="N608" s="45">
        <v>47128</v>
      </c>
      <c r="O608" s="45">
        <v>27872</v>
      </c>
      <c r="P608" s="3">
        <v>37.159999999999997</v>
      </c>
      <c r="Q608" s="32" t="s">
        <v>39</v>
      </c>
      <c r="R608" s="32" t="s">
        <v>45</v>
      </c>
      <c r="S608" s="32" t="s">
        <v>68</v>
      </c>
      <c r="T608" s="32" t="s">
        <v>41</v>
      </c>
      <c r="U608" s="38">
        <v>3</v>
      </c>
      <c r="V608" s="9"/>
    </row>
    <row r="609" spans="1:22" x14ac:dyDescent="0.35">
      <c r="A609" s="18" t="s">
        <v>702</v>
      </c>
      <c r="B609" s="8">
        <v>45356</v>
      </c>
      <c r="C609" s="23" t="s">
        <v>83</v>
      </c>
      <c r="D609" s="23" t="s">
        <v>65</v>
      </c>
      <c r="E609" s="23" t="s">
        <v>48</v>
      </c>
      <c r="F609" s="28">
        <v>2024</v>
      </c>
      <c r="G609" s="23" t="s">
        <v>36</v>
      </c>
      <c r="H609" s="23" t="s">
        <v>117</v>
      </c>
      <c r="I609" s="23" t="s">
        <v>50</v>
      </c>
      <c r="J609" s="46">
        <v>8000</v>
      </c>
      <c r="K609" s="4">
        <v>5</v>
      </c>
      <c r="L609" s="5">
        <v>0</v>
      </c>
      <c r="M609" s="46">
        <v>40000</v>
      </c>
      <c r="N609" s="46">
        <v>25601</v>
      </c>
      <c r="O609" s="46">
        <v>14399</v>
      </c>
      <c r="P609" s="6">
        <v>36</v>
      </c>
      <c r="Q609" s="33" t="s">
        <v>28</v>
      </c>
      <c r="R609" s="33" t="s">
        <v>29</v>
      </c>
      <c r="S609" s="33" t="s">
        <v>68</v>
      </c>
      <c r="T609" s="33" t="s">
        <v>31</v>
      </c>
      <c r="U609" s="39">
        <v>5</v>
      </c>
      <c r="V609" s="9"/>
    </row>
    <row r="610" spans="1:22" x14ac:dyDescent="0.35">
      <c r="A610" s="17" t="s">
        <v>703</v>
      </c>
      <c r="B610" s="7">
        <v>45098</v>
      </c>
      <c r="C610" s="22" t="s">
        <v>22</v>
      </c>
      <c r="D610" s="22" t="s">
        <v>87</v>
      </c>
      <c r="E610" s="22" t="s">
        <v>35</v>
      </c>
      <c r="F610" s="27">
        <v>2023</v>
      </c>
      <c r="G610" s="22" t="s">
        <v>43</v>
      </c>
      <c r="H610" s="22" t="s">
        <v>54</v>
      </c>
      <c r="I610" s="22" t="s">
        <v>55</v>
      </c>
      <c r="J610" s="45">
        <v>18000</v>
      </c>
      <c r="K610" s="1">
        <v>6</v>
      </c>
      <c r="L610" s="2">
        <v>20</v>
      </c>
      <c r="M610" s="45">
        <v>86400</v>
      </c>
      <c r="N610" s="45">
        <v>59931</v>
      </c>
      <c r="O610" s="45">
        <v>26469</v>
      </c>
      <c r="P610" s="3">
        <v>30.64</v>
      </c>
      <c r="Q610" s="32" t="s">
        <v>81</v>
      </c>
      <c r="R610" s="32" t="s">
        <v>45</v>
      </c>
      <c r="S610" s="32" t="s">
        <v>57</v>
      </c>
      <c r="T610" s="32" t="s">
        <v>41</v>
      </c>
      <c r="U610" s="38">
        <v>2</v>
      </c>
      <c r="V610" s="9"/>
    </row>
    <row r="611" spans="1:22" x14ac:dyDescent="0.35">
      <c r="A611" s="18" t="s">
        <v>704</v>
      </c>
      <c r="B611" s="8">
        <v>44940</v>
      </c>
      <c r="C611" s="23" t="s">
        <v>53</v>
      </c>
      <c r="D611" s="23" t="s">
        <v>47</v>
      </c>
      <c r="E611" s="23" t="s">
        <v>48</v>
      </c>
      <c r="F611" s="28">
        <v>2023</v>
      </c>
      <c r="G611" s="23" t="s">
        <v>43</v>
      </c>
      <c r="H611" s="23" t="s">
        <v>66</v>
      </c>
      <c r="I611" s="23" t="s">
        <v>38</v>
      </c>
      <c r="J611" s="46">
        <v>11000</v>
      </c>
      <c r="K611" s="4">
        <v>5</v>
      </c>
      <c r="L611" s="5">
        <v>0</v>
      </c>
      <c r="M611" s="46">
        <v>55000</v>
      </c>
      <c r="N611" s="46">
        <v>37532</v>
      </c>
      <c r="O611" s="46">
        <v>17468</v>
      </c>
      <c r="P611" s="6">
        <v>31.76</v>
      </c>
      <c r="Q611" s="33" t="s">
        <v>51</v>
      </c>
      <c r="R611" s="33" t="s">
        <v>45</v>
      </c>
      <c r="S611" s="33" t="s">
        <v>68</v>
      </c>
      <c r="T611" s="33" t="s">
        <v>31</v>
      </c>
      <c r="U611" s="39">
        <v>2</v>
      </c>
      <c r="V611" s="9"/>
    </row>
    <row r="612" spans="1:22" x14ac:dyDescent="0.35">
      <c r="A612" s="17" t="s">
        <v>705</v>
      </c>
      <c r="B612" s="7">
        <v>45442</v>
      </c>
      <c r="C612" s="22" t="s">
        <v>33</v>
      </c>
      <c r="D612" s="22" t="s">
        <v>116</v>
      </c>
      <c r="E612" s="22" t="s">
        <v>35</v>
      </c>
      <c r="F612" s="27">
        <v>2024</v>
      </c>
      <c r="G612" s="22" t="s">
        <v>43</v>
      </c>
      <c r="H612" s="22" t="s">
        <v>37</v>
      </c>
      <c r="I612" s="22" t="s">
        <v>38</v>
      </c>
      <c r="J612" s="45">
        <v>10000</v>
      </c>
      <c r="K612" s="1">
        <v>9</v>
      </c>
      <c r="L612" s="2">
        <v>10</v>
      </c>
      <c r="M612" s="45">
        <v>81000</v>
      </c>
      <c r="N612" s="45">
        <v>54047</v>
      </c>
      <c r="O612" s="45">
        <v>26953</v>
      </c>
      <c r="P612" s="3">
        <v>33.28</v>
      </c>
      <c r="Q612" s="32" t="s">
        <v>75</v>
      </c>
      <c r="R612" s="32" t="s">
        <v>29</v>
      </c>
      <c r="S612" s="32" t="s">
        <v>85</v>
      </c>
      <c r="T612" s="32" t="s">
        <v>41</v>
      </c>
      <c r="U612" s="38">
        <v>4</v>
      </c>
      <c r="V612" s="9"/>
    </row>
    <row r="613" spans="1:22" x14ac:dyDescent="0.35">
      <c r="A613" s="18" t="s">
        <v>706</v>
      </c>
      <c r="B613" s="8">
        <v>45005</v>
      </c>
      <c r="C613" s="23" t="s">
        <v>90</v>
      </c>
      <c r="D613" s="23" t="s">
        <v>65</v>
      </c>
      <c r="E613" s="23" t="s">
        <v>48</v>
      </c>
      <c r="F613" s="28">
        <v>2023</v>
      </c>
      <c r="G613" s="23" t="s">
        <v>61</v>
      </c>
      <c r="H613" s="23" t="s">
        <v>44</v>
      </c>
      <c r="I613" s="23" t="s">
        <v>27</v>
      </c>
      <c r="J613" s="46">
        <v>6000</v>
      </c>
      <c r="K613" s="4">
        <v>1</v>
      </c>
      <c r="L613" s="5">
        <v>5</v>
      </c>
      <c r="M613" s="46">
        <v>5700</v>
      </c>
      <c r="N613" s="46">
        <v>3472</v>
      </c>
      <c r="O613" s="46">
        <v>2228</v>
      </c>
      <c r="P613" s="6">
        <v>39.090000000000003</v>
      </c>
      <c r="Q613" s="33" t="s">
        <v>81</v>
      </c>
      <c r="R613" s="33" t="s">
        <v>56</v>
      </c>
      <c r="S613" s="33" t="s">
        <v>40</v>
      </c>
      <c r="T613" s="33" t="s">
        <v>31</v>
      </c>
      <c r="U613" s="39">
        <v>3</v>
      </c>
      <c r="V613" s="9"/>
    </row>
    <row r="614" spans="1:22" x14ac:dyDescent="0.35">
      <c r="A614" s="17" t="s">
        <v>707</v>
      </c>
      <c r="B614" s="7">
        <v>44956</v>
      </c>
      <c r="C614" s="22" t="s">
        <v>90</v>
      </c>
      <c r="D614" s="22" t="s">
        <v>47</v>
      </c>
      <c r="E614" s="22" t="s">
        <v>48</v>
      </c>
      <c r="F614" s="27">
        <v>2023</v>
      </c>
      <c r="G614" s="22" t="s">
        <v>36</v>
      </c>
      <c r="H614" s="22" t="s">
        <v>44</v>
      </c>
      <c r="I614" s="22" t="s">
        <v>27</v>
      </c>
      <c r="J614" s="45">
        <v>6000</v>
      </c>
      <c r="K614" s="1">
        <v>3</v>
      </c>
      <c r="L614" s="2">
        <v>20</v>
      </c>
      <c r="M614" s="45">
        <v>14400</v>
      </c>
      <c r="N614" s="45">
        <v>9620</v>
      </c>
      <c r="O614" s="45">
        <v>4780</v>
      </c>
      <c r="P614" s="3">
        <v>33.19</v>
      </c>
      <c r="Q614" s="32" t="s">
        <v>39</v>
      </c>
      <c r="R614" s="32" t="s">
        <v>45</v>
      </c>
      <c r="S614" s="32" t="s">
        <v>68</v>
      </c>
      <c r="T614" s="32" t="s">
        <v>31</v>
      </c>
      <c r="U614" s="38">
        <v>1</v>
      </c>
      <c r="V614" s="9"/>
    </row>
    <row r="615" spans="1:22" x14ac:dyDescent="0.35">
      <c r="A615" s="18" t="s">
        <v>708</v>
      </c>
      <c r="B615" s="8">
        <v>45362</v>
      </c>
      <c r="C615" s="23" t="s">
        <v>90</v>
      </c>
      <c r="D615" s="23" t="s">
        <v>65</v>
      </c>
      <c r="E615" s="23" t="s">
        <v>48</v>
      </c>
      <c r="F615" s="28">
        <v>2024</v>
      </c>
      <c r="G615" s="23" t="s">
        <v>43</v>
      </c>
      <c r="H615" s="23" t="s">
        <v>26</v>
      </c>
      <c r="I615" s="23" t="s">
        <v>27</v>
      </c>
      <c r="J615" s="46">
        <v>5000</v>
      </c>
      <c r="K615" s="4">
        <v>1</v>
      </c>
      <c r="L615" s="5">
        <v>20</v>
      </c>
      <c r="M615" s="46">
        <v>4000</v>
      </c>
      <c r="N615" s="46">
        <v>2529</v>
      </c>
      <c r="O615" s="46">
        <v>1471</v>
      </c>
      <c r="P615" s="6">
        <v>36.78</v>
      </c>
      <c r="Q615" s="33" t="s">
        <v>51</v>
      </c>
      <c r="R615" s="33" t="s">
        <v>76</v>
      </c>
      <c r="S615" s="33" t="s">
        <v>68</v>
      </c>
      <c r="T615" s="33" t="s">
        <v>31</v>
      </c>
      <c r="U615" s="39">
        <v>5</v>
      </c>
      <c r="V615" s="9"/>
    </row>
    <row r="616" spans="1:22" x14ac:dyDescent="0.35">
      <c r="A616" s="17" t="s">
        <v>709</v>
      </c>
      <c r="B616" s="7">
        <v>45534</v>
      </c>
      <c r="C616" s="22" t="s">
        <v>78</v>
      </c>
      <c r="D616" s="22" t="s">
        <v>108</v>
      </c>
      <c r="E616" s="22" t="s">
        <v>72</v>
      </c>
      <c r="F616" s="27">
        <v>2024</v>
      </c>
      <c r="G616" s="22" t="s">
        <v>43</v>
      </c>
      <c r="H616" s="22" t="s">
        <v>174</v>
      </c>
      <c r="I616" s="22" t="s">
        <v>27</v>
      </c>
      <c r="J616" s="45">
        <v>12000</v>
      </c>
      <c r="K616" s="1">
        <v>2</v>
      </c>
      <c r="L616" s="2">
        <v>0</v>
      </c>
      <c r="M616" s="45">
        <v>24000</v>
      </c>
      <c r="N616" s="45">
        <v>13377</v>
      </c>
      <c r="O616" s="45">
        <v>10623</v>
      </c>
      <c r="P616" s="3">
        <v>44.26</v>
      </c>
      <c r="Q616" s="32" t="s">
        <v>81</v>
      </c>
      <c r="R616" s="32" t="s">
        <v>76</v>
      </c>
      <c r="S616" s="32" t="s">
        <v>30</v>
      </c>
      <c r="T616" s="32" t="s">
        <v>31</v>
      </c>
      <c r="U616" s="38">
        <v>5</v>
      </c>
      <c r="V616" s="9"/>
    </row>
    <row r="617" spans="1:22" x14ac:dyDescent="0.35">
      <c r="A617" s="18" t="s">
        <v>710</v>
      </c>
      <c r="B617" s="8">
        <v>45131</v>
      </c>
      <c r="C617" s="23" t="s">
        <v>90</v>
      </c>
      <c r="D617" s="23" t="s">
        <v>71</v>
      </c>
      <c r="E617" s="23" t="s">
        <v>72</v>
      </c>
      <c r="F617" s="28">
        <v>2023</v>
      </c>
      <c r="G617" s="23" t="s">
        <v>61</v>
      </c>
      <c r="H617" s="23" t="s">
        <v>123</v>
      </c>
      <c r="I617" s="23" t="s">
        <v>38</v>
      </c>
      <c r="J617" s="46">
        <v>14000</v>
      </c>
      <c r="K617" s="4">
        <v>1</v>
      </c>
      <c r="L617" s="5">
        <v>0</v>
      </c>
      <c r="M617" s="46">
        <v>14000</v>
      </c>
      <c r="N617" s="46">
        <v>8046</v>
      </c>
      <c r="O617" s="46">
        <v>5954</v>
      </c>
      <c r="P617" s="6">
        <v>42.53</v>
      </c>
      <c r="Q617" s="33" t="s">
        <v>81</v>
      </c>
      <c r="R617" s="33" t="s">
        <v>29</v>
      </c>
      <c r="S617" s="33" t="s">
        <v>57</v>
      </c>
      <c r="T617" s="33" t="s">
        <v>31</v>
      </c>
      <c r="U617" s="39">
        <v>5</v>
      </c>
      <c r="V617" s="9"/>
    </row>
    <row r="618" spans="1:22" x14ac:dyDescent="0.35">
      <c r="A618" s="17" t="s">
        <v>711</v>
      </c>
      <c r="B618" s="7">
        <v>45554</v>
      </c>
      <c r="C618" s="22" t="s">
        <v>33</v>
      </c>
      <c r="D618" s="22" t="s">
        <v>79</v>
      </c>
      <c r="E618" s="22" t="s">
        <v>72</v>
      </c>
      <c r="F618" s="27">
        <v>2024</v>
      </c>
      <c r="G618" s="22" t="s">
        <v>36</v>
      </c>
      <c r="H618" s="22" t="s">
        <v>66</v>
      </c>
      <c r="I618" s="22" t="s">
        <v>38</v>
      </c>
      <c r="J618" s="45">
        <v>11000</v>
      </c>
      <c r="K618" s="1">
        <v>10</v>
      </c>
      <c r="L618" s="2">
        <v>0</v>
      </c>
      <c r="M618" s="45">
        <v>110000</v>
      </c>
      <c r="N618" s="45">
        <v>62353</v>
      </c>
      <c r="O618" s="45">
        <v>47647</v>
      </c>
      <c r="P618" s="3">
        <v>43.32</v>
      </c>
      <c r="Q618" s="32" t="s">
        <v>75</v>
      </c>
      <c r="R618" s="32" t="s">
        <v>76</v>
      </c>
      <c r="S618" s="32" t="s">
        <v>85</v>
      </c>
      <c r="T618" s="32" t="s">
        <v>31</v>
      </c>
      <c r="U618" s="38">
        <v>3</v>
      </c>
      <c r="V618" s="9"/>
    </row>
    <row r="619" spans="1:22" x14ac:dyDescent="0.35">
      <c r="A619" s="18" t="s">
        <v>712</v>
      </c>
      <c r="B619" s="8">
        <v>45102</v>
      </c>
      <c r="C619" s="23" t="s">
        <v>70</v>
      </c>
      <c r="D619" s="23" t="s">
        <v>87</v>
      </c>
      <c r="E619" s="23" t="s">
        <v>35</v>
      </c>
      <c r="F619" s="28">
        <v>2023</v>
      </c>
      <c r="G619" s="23" t="s">
        <v>36</v>
      </c>
      <c r="H619" s="23" t="s">
        <v>80</v>
      </c>
      <c r="I619" s="23" t="s">
        <v>55</v>
      </c>
      <c r="J619" s="46">
        <v>25000</v>
      </c>
      <c r="K619" s="4">
        <v>2</v>
      </c>
      <c r="L619" s="5">
        <v>0</v>
      </c>
      <c r="M619" s="46">
        <v>50000</v>
      </c>
      <c r="N619" s="46">
        <v>35324</v>
      </c>
      <c r="O619" s="46">
        <v>14676</v>
      </c>
      <c r="P619" s="6">
        <v>29.35</v>
      </c>
      <c r="Q619" s="33" t="s">
        <v>51</v>
      </c>
      <c r="R619" s="33" t="s">
        <v>45</v>
      </c>
      <c r="S619" s="33" t="s">
        <v>85</v>
      </c>
      <c r="T619" s="33" t="s">
        <v>41</v>
      </c>
      <c r="U619" s="39">
        <v>1</v>
      </c>
      <c r="V619" s="9"/>
    </row>
    <row r="620" spans="1:22" x14ac:dyDescent="0.35">
      <c r="A620" s="17" t="s">
        <v>713</v>
      </c>
      <c r="B620" s="7">
        <v>45112</v>
      </c>
      <c r="C620" s="22" t="s">
        <v>22</v>
      </c>
      <c r="D620" s="22" t="s">
        <v>71</v>
      </c>
      <c r="E620" s="22" t="s">
        <v>72</v>
      </c>
      <c r="F620" s="27">
        <v>2023</v>
      </c>
      <c r="G620" s="22" t="s">
        <v>43</v>
      </c>
      <c r="H620" s="22" t="s">
        <v>59</v>
      </c>
      <c r="I620" s="22" t="s">
        <v>50</v>
      </c>
      <c r="J620" s="45">
        <v>22000</v>
      </c>
      <c r="K620" s="1">
        <v>7</v>
      </c>
      <c r="L620" s="2">
        <v>0</v>
      </c>
      <c r="M620" s="45">
        <v>154000</v>
      </c>
      <c r="N620" s="45">
        <v>98163</v>
      </c>
      <c r="O620" s="45">
        <v>55837</v>
      </c>
      <c r="P620" s="3">
        <v>36.26</v>
      </c>
      <c r="Q620" s="32" t="s">
        <v>51</v>
      </c>
      <c r="R620" s="32" t="s">
        <v>76</v>
      </c>
      <c r="S620" s="32" t="s">
        <v>57</v>
      </c>
      <c r="T620" s="32" t="s">
        <v>41</v>
      </c>
      <c r="U620" s="38">
        <v>1</v>
      </c>
      <c r="V620" s="9"/>
    </row>
    <row r="621" spans="1:22" x14ac:dyDescent="0.35">
      <c r="A621" s="18" t="s">
        <v>714</v>
      </c>
      <c r="B621" s="8">
        <v>45459</v>
      </c>
      <c r="C621" s="23" t="s">
        <v>70</v>
      </c>
      <c r="D621" s="23" t="s">
        <v>87</v>
      </c>
      <c r="E621" s="23" t="s">
        <v>35</v>
      </c>
      <c r="F621" s="28">
        <v>2024</v>
      </c>
      <c r="G621" s="23" t="s">
        <v>25</v>
      </c>
      <c r="H621" s="23" t="s">
        <v>113</v>
      </c>
      <c r="I621" s="23" t="s">
        <v>38</v>
      </c>
      <c r="J621" s="46">
        <v>3500</v>
      </c>
      <c r="K621" s="4">
        <v>6</v>
      </c>
      <c r="L621" s="5">
        <v>15</v>
      </c>
      <c r="M621" s="46">
        <v>17850</v>
      </c>
      <c r="N621" s="46">
        <v>10692</v>
      </c>
      <c r="O621" s="46">
        <v>7158</v>
      </c>
      <c r="P621" s="6">
        <v>40.1</v>
      </c>
      <c r="Q621" s="33" t="s">
        <v>28</v>
      </c>
      <c r="R621" s="33" t="s">
        <v>76</v>
      </c>
      <c r="S621" s="33" t="s">
        <v>57</v>
      </c>
      <c r="T621" s="33" t="s">
        <v>31</v>
      </c>
      <c r="U621" s="39">
        <v>4</v>
      </c>
      <c r="V621" s="9"/>
    </row>
    <row r="622" spans="1:22" x14ac:dyDescent="0.35">
      <c r="A622" s="17" t="s">
        <v>715</v>
      </c>
      <c r="B622" s="7">
        <v>45217</v>
      </c>
      <c r="C622" s="22" t="s">
        <v>22</v>
      </c>
      <c r="D622" s="22" t="s">
        <v>23</v>
      </c>
      <c r="E622" s="22" t="s">
        <v>24</v>
      </c>
      <c r="F622" s="27">
        <v>2023</v>
      </c>
      <c r="G622" s="22" t="s">
        <v>25</v>
      </c>
      <c r="H622" s="22" t="s">
        <v>119</v>
      </c>
      <c r="I622" s="22" t="s">
        <v>63</v>
      </c>
      <c r="J622" s="45">
        <v>16000</v>
      </c>
      <c r="K622" s="1">
        <v>5</v>
      </c>
      <c r="L622" s="2">
        <v>15</v>
      </c>
      <c r="M622" s="45">
        <v>68000</v>
      </c>
      <c r="N622" s="45">
        <v>48685</v>
      </c>
      <c r="O622" s="45">
        <v>19315</v>
      </c>
      <c r="P622" s="3">
        <v>28.4</v>
      </c>
      <c r="Q622" s="32" t="s">
        <v>51</v>
      </c>
      <c r="R622" s="32" t="s">
        <v>56</v>
      </c>
      <c r="S622" s="32" t="s">
        <v>85</v>
      </c>
      <c r="T622" s="32" t="s">
        <v>41</v>
      </c>
      <c r="U622" s="38">
        <v>4</v>
      </c>
      <c r="V622" s="9"/>
    </row>
    <row r="623" spans="1:22" x14ac:dyDescent="0.35">
      <c r="A623" s="18" t="s">
        <v>716</v>
      </c>
      <c r="B623" s="8">
        <v>45120</v>
      </c>
      <c r="C623" s="23" t="s">
        <v>33</v>
      </c>
      <c r="D623" s="23" t="s">
        <v>71</v>
      </c>
      <c r="E623" s="23" t="s">
        <v>72</v>
      </c>
      <c r="F623" s="28">
        <v>2023</v>
      </c>
      <c r="G623" s="23" t="s">
        <v>25</v>
      </c>
      <c r="H623" s="23" t="s">
        <v>174</v>
      </c>
      <c r="I623" s="23" t="s">
        <v>27</v>
      </c>
      <c r="J623" s="46">
        <v>12000</v>
      </c>
      <c r="K623" s="4">
        <v>6</v>
      </c>
      <c r="L623" s="5">
        <v>0</v>
      </c>
      <c r="M623" s="46">
        <v>72000</v>
      </c>
      <c r="N623" s="46">
        <v>39756</v>
      </c>
      <c r="O623" s="46">
        <v>32244</v>
      </c>
      <c r="P623" s="6">
        <v>44.78</v>
      </c>
      <c r="Q623" s="33" t="s">
        <v>51</v>
      </c>
      <c r="R623" s="33" t="s">
        <v>76</v>
      </c>
      <c r="S623" s="33" t="s">
        <v>40</v>
      </c>
      <c r="T623" s="33" t="s">
        <v>31</v>
      </c>
      <c r="U623" s="39">
        <v>1</v>
      </c>
      <c r="V623" s="9"/>
    </row>
    <row r="624" spans="1:22" x14ac:dyDescent="0.35">
      <c r="A624" s="17" t="s">
        <v>717</v>
      </c>
      <c r="B624" s="7">
        <v>45073</v>
      </c>
      <c r="C624" s="22" t="s">
        <v>53</v>
      </c>
      <c r="D624" s="22" t="s">
        <v>116</v>
      </c>
      <c r="E624" s="22" t="s">
        <v>35</v>
      </c>
      <c r="F624" s="27">
        <v>2023</v>
      </c>
      <c r="G624" s="22" t="s">
        <v>36</v>
      </c>
      <c r="H624" s="22" t="s">
        <v>98</v>
      </c>
      <c r="I624" s="22" t="s">
        <v>63</v>
      </c>
      <c r="J624" s="45">
        <v>28000</v>
      </c>
      <c r="K624" s="1">
        <v>10</v>
      </c>
      <c r="L624" s="2">
        <v>0</v>
      </c>
      <c r="M624" s="45">
        <v>280000</v>
      </c>
      <c r="N624" s="45">
        <v>189292</v>
      </c>
      <c r="O624" s="45">
        <v>90708</v>
      </c>
      <c r="P624" s="3">
        <v>32.4</v>
      </c>
      <c r="Q624" s="32" t="s">
        <v>39</v>
      </c>
      <c r="R624" s="32" t="s">
        <v>76</v>
      </c>
      <c r="S624" s="32" t="s">
        <v>57</v>
      </c>
      <c r="T624" s="32" t="s">
        <v>41</v>
      </c>
      <c r="U624" s="38">
        <v>2</v>
      </c>
      <c r="V624" s="9"/>
    </row>
    <row r="625" spans="1:22" x14ac:dyDescent="0.35">
      <c r="A625" s="18" t="s">
        <v>718</v>
      </c>
      <c r="B625" s="8">
        <v>45536</v>
      </c>
      <c r="C625" s="23" t="s">
        <v>70</v>
      </c>
      <c r="D625" s="23" t="s">
        <v>79</v>
      </c>
      <c r="E625" s="23" t="s">
        <v>72</v>
      </c>
      <c r="F625" s="28">
        <v>2024</v>
      </c>
      <c r="G625" s="23" t="s">
        <v>61</v>
      </c>
      <c r="H625" s="23" t="s">
        <v>93</v>
      </c>
      <c r="I625" s="23" t="s">
        <v>63</v>
      </c>
      <c r="J625" s="46">
        <v>14000</v>
      </c>
      <c r="K625" s="4">
        <v>4</v>
      </c>
      <c r="L625" s="5">
        <v>20</v>
      </c>
      <c r="M625" s="46">
        <v>44800</v>
      </c>
      <c r="N625" s="46">
        <v>27875</v>
      </c>
      <c r="O625" s="46">
        <v>16925</v>
      </c>
      <c r="P625" s="6">
        <v>37.78</v>
      </c>
      <c r="Q625" s="33" t="s">
        <v>51</v>
      </c>
      <c r="R625" s="33" t="s">
        <v>45</v>
      </c>
      <c r="S625" s="33" t="s">
        <v>85</v>
      </c>
      <c r="T625" s="33" t="s">
        <v>41</v>
      </c>
      <c r="U625" s="39">
        <v>3</v>
      </c>
      <c r="V625" s="9"/>
    </row>
    <row r="626" spans="1:22" x14ac:dyDescent="0.35">
      <c r="A626" s="17" t="s">
        <v>719</v>
      </c>
      <c r="B626" s="7">
        <v>45414</v>
      </c>
      <c r="C626" s="22" t="s">
        <v>33</v>
      </c>
      <c r="D626" s="22" t="s">
        <v>116</v>
      </c>
      <c r="E626" s="22" t="s">
        <v>35</v>
      </c>
      <c r="F626" s="27">
        <v>2024</v>
      </c>
      <c r="G626" s="22" t="s">
        <v>61</v>
      </c>
      <c r="H626" s="22" t="s">
        <v>126</v>
      </c>
      <c r="I626" s="22" t="s">
        <v>55</v>
      </c>
      <c r="J626" s="45">
        <v>12000</v>
      </c>
      <c r="K626" s="1">
        <v>8</v>
      </c>
      <c r="L626" s="2">
        <v>10</v>
      </c>
      <c r="M626" s="45">
        <v>86400</v>
      </c>
      <c r="N626" s="45">
        <v>51616</v>
      </c>
      <c r="O626" s="45">
        <v>34784</v>
      </c>
      <c r="P626" s="3">
        <v>40.26</v>
      </c>
      <c r="Q626" s="32" t="s">
        <v>51</v>
      </c>
      <c r="R626" s="32" t="s">
        <v>76</v>
      </c>
      <c r="S626" s="32" t="s">
        <v>30</v>
      </c>
      <c r="T626" s="32" t="s">
        <v>41</v>
      </c>
      <c r="U626" s="38">
        <v>4</v>
      </c>
      <c r="V626" s="9"/>
    </row>
    <row r="627" spans="1:22" x14ac:dyDescent="0.35">
      <c r="A627" s="18" t="s">
        <v>720</v>
      </c>
      <c r="B627" s="8">
        <v>45163</v>
      </c>
      <c r="C627" s="23" t="s">
        <v>78</v>
      </c>
      <c r="D627" s="23" t="s">
        <v>108</v>
      </c>
      <c r="E627" s="23" t="s">
        <v>72</v>
      </c>
      <c r="F627" s="28">
        <v>2023</v>
      </c>
      <c r="G627" s="23" t="s">
        <v>36</v>
      </c>
      <c r="H627" s="23" t="s">
        <v>106</v>
      </c>
      <c r="I627" s="23" t="s">
        <v>38</v>
      </c>
      <c r="J627" s="46">
        <v>12000</v>
      </c>
      <c r="K627" s="4">
        <v>2</v>
      </c>
      <c r="L627" s="5">
        <v>15</v>
      </c>
      <c r="M627" s="46">
        <v>20400</v>
      </c>
      <c r="N627" s="46">
        <v>11403</v>
      </c>
      <c r="O627" s="46">
        <v>8997</v>
      </c>
      <c r="P627" s="6">
        <v>44.1</v>
      </c>
      <c r="Q627" s="33" t="s">
        <v>28</v>
      </c>
      <c r="R627" s="33" t="s">
        <v>67</v>
      </c>
      <c r="S627" s="33" t="s">
        <v>30</v>
      </c>
      <c r="T627" s="33" t="s">
        <v>41</v>
      </c>
      <c r="U627" s="39">
        <v>5</v>
      </c>
      <c r="V627" s="9"/>
    </row>
    <row r="628" spans="1:22" x14ac:dyDescent="0.35">
      <c r="A628" s="17" t="s">
        <v>721</v>
      </c>
      <c r="B628" s="7">
        <v>45622</v>
      </c>
      <c r="C628" s="22" t="s">
        <v>83</v>
      </c>
      <c r="D628" s="22" t="s">
        <v>110</v>
      </c>
      <c r="E628" s="22" t="s">
        <v>24</v>
      </c>
      <c r="F628" s="27">
        <v>2024</v>
      </c>
      <c r="G628" s="22" t="s">
        <v>25</v>
      </c>
      <c r="H628" s="22" t="s">
        <v>104</v>
      </c>
      <c r="I628" s="22" t="s">
        <v>50</v>
      </c>
      <c r="J628" s="45">
        <v>15000</v>
      </c>
      <c r="K628" s="1">
        <v>5</v>
      </c>
      <c r="L628" s="2">
        <v>10</v>
      </c>
      <c r="M628" s="45">
        <v>67500</v>
      </c>
      <c r="N628" s="45">
        <v>44277</v>
      </c>
      <c r="O628" s="45">
        <v>23223</v>
      </c>
      <c r="P628" s="3">
        <v>34.4</v>
      </c>
      <c r="Q628" s="32" t="s">
        <v>28</v>
      </c>
      <c r="R628" s="32" t="s">
        <v>29</v>
      </c>
      <c r="S628" s="32" t="s">
        <v>40</v>
      </c>
      <c r="T628" s="32" t="s">
        <v>31</v>
      </c>
      <c r="U628" s="38">
        <v>3</v>
      </c>
      <c r="V628" s="9"/>
    </row>
    <row r="629" spans="1:22" x14ac:dyDescent="0.35">
      <c r="A629" s="18" t="s">
        <v>722</v>
      </c>
      <c r="B629" s="8">
        <v>45604</v>
      </c>
      <c r="C629" s="23" t="s">
        <v>78</v>
      </c>
      <c r="D629" s="23" t="s">
        <v>110</v>
      </c>
      <c r="E629" s="23" t="s">
        <v>24</v>
      </c>
      <c r="F629" s="28">
        <v>2024</v>
      </c>
      <c r="G629" s="23" t="s">
        <v>43</v>
      </c>
      <c r="H629" s="23" t="s">
        <v>98</v>
      </c>
      <c r="I629" s="23" t="s">
        <v>63</v>
      </c>
      <c r="J629" s="46">
        <v>28000</v>
      </c>
      <c r="K629" s="4">
        <v>9</v>
      </c>
      <c r="L629" s="5">
        <v>0</v>
      </c>
      <c r="M629" s="46">
        <v>252000</v>
      </c>
      <c r="N629" s="46">
        <v>161838</v>
      </c>
      <c r="O629" s="46">
        <v>90162</v>
      </c>
      <c r="P629" s="6">
        <v>35.78</v>
      </c>
      <c r="Q629" s="33" t="s">
        <v>75</v>
      </c>
      <c r="R629" s="33" t="s">
        <v>29</v>
      </c>
      <c r="S629" s="33" t="s">
        <v>30</v>
      </c>
      <c r="T629" s="33" t="s">
        <v>41</v>
      </c>
      <c r="U629" s="39">
        <v>1</v>
      </c>
      <c r="V629" s="9"/>
    </row>
    <row r="630" spans="1:22" x14ac:dyDescent="0.35">
      <c r="A630" s="17" t="s">
        <v>723</v>
      </c>
      <c r="B630" s="7">
        <v>45319</v>
      </c>
      <c r="C630" s="22" t="s">
        <v>70</v>
      </c>
      <c r="D630" s="22" t="s">
        <v>47</v>
      </c>
      <c r="E630" s="22" t="s">
        <v>48</v>
      </c>
      <c r="F630" s="27">
        <v>2024</v>
      </c>
      <c r="G630" s="22" t="s">
        <v>61</v>
      </c>
      <c r="H630" s="22" t="s">
        <v>62</v>
      </c>
      <c r="I630" s="22" t="s">
        <v>63</v>
      </c>
      <c r="J630" s="45">
        <v>5000</v>
      </c>
      <c r="K630" s="1">
        <v>7</v>
      </c>
      <c r="L630" s="2">
        <v>5</v>
      </c>
      <c r="M630" s="45">
        <v>33250</v>
      </c>
      <c r="N630" s="45">
        <v>20886</v>
      </c>
      <c r="O630" s="45">
        <v>12364</v>
      </c>
      <c r="P630" s="3">
        <v>37.18</v>
      </c>
      <c r="Q630" s="32" t="s">
        <v>28</v>
      </c>
      <c r="R630" s="32" t="s">
        <v>56</v>
      </c>
      <c r="S630" s="32" t="s">
        <v>85</v>
      </c>
      <c r="T630" s="32" t="s">
        <v>31</v>
      </c>
      <c r="U630" s="38">
        <v>4</v>
      </c>
      <c r="V630" s="9"/>
    </row>
    <row r="631" spans="1:22" x14ac:dyDescent="0.35">
      <c r="A631" s="18" t="s">
        <v>724</v>
      </c>
      <c r="B631" s="8">
        <v>45368</v>
      </c>
      <c r="C631" s="23" t="s">
        <v>70</v>
      </c>
      <c r="D631" s="23" t="s">
        <v>65</v>
      </c>
      <c r="E631" s="23" t="s">
        <v>48</v>
      </c>
      <c r="F631" s="28">
        <v>2024</v>
      </c>
      <c r="G631" s="23" t="s">
        <v>25</v>
      </c>
      <c r="H631" s="23" t="s">
        <v>123</v>
      </c>
      <c r="I631" s="23" t="s">
        <v>38</v>
      </c>
      <c r="J631" s="46">
        <v>14000</v>
      </c>
      <c r="K631" s="4">
        <v>7</v>
      </c>
      <c r="L631" s="5">
        <v>5</v>
      </c>
      <c r="M631" s="46">
        <v>93100</v>
      </c>
      <c r="N631" s="46">
        <v>63297</v>
      </c>
      <c r="O631" s="46">
        <v>29803</v>
      </c>
      <c r="P631" s="6">
        <v>32.01</v>
      </c>
      <c r="Q631" s="33" t="s">
        <v>75</v>
      </c>
      <c r="R631" s="33" t="s">
        <v>67</v>
      </c>
      <c r="S631" s="33" t="s">
        <v>85</v>
      </c>
      <c r="T631" s="33" t="s">
        <v>41</v>
      </c>
      <c r="U631" s="39">
        <v>5</v>
      </c>
      <c r="V631" s="9"/>
    </row>
    <row r="632" spans="1:22" x14ac:dyDescent="0.35">
      <c r="A632" s="17" t="s">
        <v>725</v>
      </c>
      <c r="B632" s="7">
        <v>45087</v>
      </c>
      <c r="C632" s="22" t="s">
        <v>53</v>
      </c>
      <c r="D632" s="22" t="s">
        <v>87</v>
      </c>
      <c r="E632" s="22" t="s">
        <v>35</v>
      </c>
      <c r="F632" s="27">
        <v>2023</v>
      </c>
      <c r="G632" s="22" t="s">
        <v>61</v>
      </c>
      <c r="H632" s="22" t="s">
        <v>80</v>
      </c>
      <c r="I632" s="22" t="s">
        <v>55</v>
      </c>
      <c r="J632" s="45">
        <v>25000</v>
      </c>
      <c r="K632" s="1">
        <v>7</v>
      </c>
      <c r="L632" s="2">
        <v>0</v>
      </c>
      <c r="M632" s="45">
        <v>175000</v>
      </c>
      <c r="N632" s="45">
        <v>110967</v>
      </c>
      <c r="O632" s="45">
        <v>64033</v>
      </c>
      <c r="P632" s="3">
        <v>36.590000000000003</v>
      </c>
      <c r="Q632" s="32" t="s">
        <v>51</v>
      </c>
      <c r="R632" s="32" t="s">
        <v>29</v>
      </c>
      <c r="S632" s="32" t="s">
        <v>57</v>
      </c>
      <c r="T632" s="32" t="s">
        <v>41</v>
      </c>
      <c r="U632" s="38">
        <v>1</v>
      </c>
      <c r="V632" s="9"/>
    </row>
    <row r="633" spans="1:22" x14ac:dyDescent="0.35">
      <c r="A633" s="18" t="s">
        <v>726</v>
      </c>
      <c r="B633" s="8">
        <v>44955</v>
      </c>
      <c r="C633" s="23" t="s">
        <v>70</v>
      </c>
      <c r="D633" s="23" t="s">
        <v>47</v>
      </c>
      <c r="E633" s="23" t="s">
        <v>48</v>
      </c>
      <c r="F633" s="28">
        <v>2023</v>
      </c>
      <c r="G633" s="23" t="s">
        <v>25</v>
      </c>
      <c r="H633" s="23" t="s">
        <v>80</v>
      </c>
      <c r="I633" s="23" t="s">
        <v>55</v>
      </c>
      <c r="J633" s="46">
        <v>25000</v>
      </c>
      <c r="K633" s="4">
        <v>3</v>
      </c>
      <c r="L633" s="5">
        <v>20</v>
      </c>
      <c r="M633" s="46">
        <v>60000</v>
      </c>
      <c r="N633" s="46">
        <v>36737</v>
      </c>
      <c r="O633" s="46">
        <v>23263</v>
      </c>
      <c r="P633" s="6">
        <v>38.770000000000003</v>
      </c>
      <c r="Q633" s="33" t="s">
        <v>75</v>
      </c>
      <c r="R633" s="33" t="s">
        <v>76</v>
      </c>
      <c r="S633" s="33" t="s">
        <v>57</v>
      </c>
      <c r="T633" s="33" t="s">
        <v>31</v>
      </c>
      <c r="U633" s="39">
        <v>4</v>
      </c>
      <c r="V633" s="9"/>
    </row>
    <row r="634" spans="1:22" x14ac:dyDescent="0.35">
      <c r="A634" s="17" t="s">
        <v>727</v>
      </c>
      <c r="B634" s="7">
        <v>45280</v>
      </c>
      <c r="C634" s="22" t="s">
        <v>22</v>
      </c>
      <c r="D634" s="22" t="s">
        <v>97</v>
      </c>
      <c r="E634" s="22" t="s">
        <v>24</v>
      </c>
      <c r="F634" s="27">
        <v>2023</v>
      </c>
      <c r="G634" s="22" t="s">
        <v>43</v>
      </c>
      <c r="H634" s="22" t="s">
        <v>59</v>
      </c>
      <c r="I634" s="22" t="s">
        <v>50</v>
      </c>
      <c r="J634" s="45">
        <v>22000</v>
      </c>
      <c r="K634" s="1">
        <v>6</v>
      </c>
      <c r="L634" s="2">
        <v>0</v>
      </c>
      <c r="M634" s="45">
        <v>132000</v>
      </c>
      <c r="N634" s="45">
        <v>87438</v>
      </c>
      <c r="O634" s="45">
        <v>44562</v>
      </c>
      <c r="P634" s="3">
        <v>33.76</v>
      </c>
      <c r="Q634" s="32" t="s">
        <v>39</v>
      </c>
      <c r="R634" s="32" t="s">
        <v>56</v>
      </c>
      <c r="S634" s="32" t="s">
        <v>57</v>
      </c>
      <c r="T634" s="32" t="s">
        <v>31</v>
      </c>
      <c r="U634" s="38">
        <v>3</v>
      </c>
      <c r="V634" s="9"/>
    </row>
    <row r="635" spans="1:22" x14ac:dyDescent="0.35">
      <c r="A635" s="18" t="s">
        <v>728</v>
      </c>
      <c r="B635" s="8">
        <v>45044</v>
      </c>
      <c r="C635" s="23" t="s">
        <v>78</v>
      </c>
      <c r="D635" s="23" t="s">
        <v>34</v>
      </c>
      <c r="E635" s="23" t="s">
        <v>35</v>
      </c>
      <c r="F635" s="28">
        <v>2023</v>
      </c>
      <c r="G635" s="23" t="s">
        <v>25</v>
      </c>
      <c r="H635" s="23" t="s">
        <v>104</v>
      </c>
      <c r="I635" s="23" t="s">
        <v>50</v>
      </c>
      <c r="J635" s="46">
        <v>15000</v>
      </c>
      <c r="K635" s="4">
        <v>1</v>
      </c>
      <c r="L635" s="5">
        <v>10</v>
      </c>
      <c r="M635" s="46">
        <v>13500</v>
      </c>
      <c r="N635" s="46">
        <v>8173</v>
      </c>
      <c r="O635" s="46">
        <v>5327</v>
      </c>
      <c r="P635" s="6">
        <v>39.46</v>
      </c>
      <c r="Q635" s="33" t="s">
        <v>51</v>
      </c>
      <c r="R635" s="33" t="s">
        <v>67</v>
      </c>
      <c r="S635" s="33" t="s">
        <v>85</v>
      </c>
      <c r="T635" s="33" t="s">
        <v>41</v>
      </c>
      <c r="U635" s="39">
        <v>1</v>
      </c>
      <c r="V635" s="9"/>
    </row>
    <row r="636" spans="1:22" x14ac:dyDescent="0.35">
      <c r="A636" s="17" t="s">
        <v>729</v>
      </c>
      <c r="B636" s="7">
        <v>45639</v>
      </c>
      <c r="C636" s="22" t="s">
        <v>78</v>
      </c>
      <c r="D636" s="22" t="s">
        <v>97</v>
      </c>
      <c r="E636" s="22" t="s">
        <v>24</v>
      </c>
      <c r="F636" s="27">
        <v>2024</v>
      </c>
      <c r="G636" s="22" t="s">
        <v>43</v>
      </c>
      <c r="H636" s="22" t="s">
        <v>119</v>
      </c>
      <c r="I636" s="22" t="s">
        <v>63</v>
      </c>
      <c r="J636" s="45">
        <v>16000</v>
      </c>
      <c r="K636" s="1">
        <v>1</v>
      </c>
      <c r="L636" s="2">
        <v>0</v>
      </c>
      <c r="M636" s="45">
        <v>16000</v>
      </c>
      <c r="N636" s="45">
        <v>9827</v>
      </c>
      <c r="O636" s="45">
        <v>6173</v>
      </c>
      <c r="P636" s="3">
        <v>38.58</v>
      </c>
      <c r="Q636" s="32" t="s">
        <v>51</v>
      </c>
      <c r="R636" s="32" t="s">
        <v>45</v>
      </c>
      <c r="S636" s="32" t="s">
        <v>85</v>
      </c>
      <c r="T636" s="32" t="s">
        <v>41</v>
      </c>
      <c r="U636" s="38">
        <v>1</v>
      </c>
      <c r="V636" s="9"/>
    </row>
    <row r="637" spans="1:22" x14ac:dyDescent="0.35">
      <c r="A637" s="18" t="s">
        <v>730</v>
      </c>
      <c r="B637" s="8">
        <v>45634</v>
      </c>
      <c r="C637" s="23" t="s">
        <v>70</v>
      </c>
      <c r="D637" s="23" t="s">
        <v>97</v>
      </c>
      <c r="E637" s="23" t="s">
        <v>24</v>
      </c>
      <c r="F637" s="28">
        <v>2024</v>
      </c>
      <c r="G637" s="23" t="s">
        <v>61</v>
      </c>
      <c r="H637" s="23" t="s">
        <v>123</v>
      </c>
      <c r="I637" s="23" t="s">
        <v>38</v>
      </c>
      <c r="J637" s="46">
        <v>14000</v>
      </c>
      <c r="K637" s="4">
        <v>8</v>
      </c>
      <c r="L637" s="5">
        <v>10</v>
      </c>
      <c r="M637" s="46">
        <v>100800</v>
      </c>
      <c r="N637" s="46">
        <v>69345</v>
      </c>
      <c r="O637" s="46">
        <v>31455</v>
      </c>
      <c r="P637" s="6">
        <v>31.21</v>
      </c>
      <c r="Q637" s="33" t="s">
        <v>81</v>
      </c>
      <c r="R637" s="33" t="s">
        <v>56</v>
      </c>
      <c r="S637" s="33" t="s">
        <v>85</v>
      </c>
      <c r="T637" s="33" t="s">
        <v>41</v>
      </c>
      <c r="U637" s="39">
        <v>4</v>
      </c>
      <c r="V637" s="9"/>
    </row>
    <row r="638" spans="1:22" x14ac:dyDescent="0.35">
      <c r="A638" s="17" t="s">
        <v>731</v>
      </c>
      <c r="B638" s="7">
        <v>45133</v>
      </c>
      <c r="C638" s="22" t="s">
        <v>22</v>
      </c>
      <c r="D638" s="22" t="s">
        <v>71</v>
      </c>
      <c r="E638" s="22" t="s">
        <v>72</v>
      </c>
      <c r="F638" s="27">
        <v>2023</v>
      </c>
      <c r="G638" s="22" t="s">
        <v>25</v>
      </c>
      <c r="H638" s="22" t="s">
        <v>93</v>
      </c>
      <c r="I638" s="22" t="s">
        <v>63</v>
      </c>
      <c r="J638" s="45">
        <v>14000</v>
      </c>
      <c r="K638" s="1">
        <v>9</v>
      </c>
      <c r="L638" s="2">
        <v>0</v>
      </c>
      <c r="M638" s="45">
        <v>126000</v>
      </c>
      <c r="N638" s="45">
        <v>75455</v>
      </c>
      <c r="O638" s="45">
        <v>50545</v>
      </c>
      <c r="P638" s="3">
        <v>40.119999999999997</v>
      </c>
      <c r="Q638" s="32" t="s">
        <v>28</v>
      </c>
      <c r="R638" s="32" t="s">
        <v>45</v>
      </c>
      <c r="S638" s="32" t="s">
        <v>85</v>
      </c>
      <c r="T638" s="32" t="s">
        <v>31</v>
      </c>
      <c r="U638" s="38">
        <v>5</v>
      </c>
      <c r="V638" s="9"/>
    </row>
    <row r="639" spans="1:22" x14ac:dyDescent="0.35">
      <c r="A639" s="18" t="s">
        <v>732</v>
      </c>
      <c r="B639" s="8">
        <v>45021</v>
      </c>
      <c r="C639" s="23" t="s">
        <v>22</v>
      </c>
      <c r="D639" s="23" t="s">
        <v>34</v>
      </c>
      <c r="E639" s="23" t="s">
        <v>35</v>
      </c>
      <c r="F639" s="28">
        <v>2023</v>
      </c>
      <c r="G639" s="23" t="s">
        <v>25</v>
      </c>
      <c r="H639" s="23" t="s">
        <v>80</v>
      </c>
      <c r="I639" s="23" t="s">
        <v>55</v>
      </c>
      <c r="J639" s="46">
        <v>25000</v>
      </c>
      <c r="K639" s="4">
        <v>10</v>
      </c>
      <c r="L639" s="5">
        <v>0</v>
      </c>
      <c r="M639" s="46">
        <v>250000</v>
      </c>
      <c r="N639" s="46">
        <v>149118</v>
      </c>
      <c r="O639" s="46">
        <v>100882</v>
      </c>
      <c r="P639" s="6">
        <v>40.35</v>
      </c>
      <c r="Q639" s="33" t="s">
        <v>75</v>
      </c>
      <c r="R639" s="33" t="s">
        <v>29</v>
      </c>
      <c r="S639" s="33" t="s">
        <v>40</v>
      </c>
      <c r="T639" s="33" t="s">
        <v>31</v>
      </c>
      <c r="U639" s="39">
        <v>3</v>
      </c>
      <c r="V639" s="9"/>
    </row>
    <row r="640" spans="1:22" x14ac:dyDescent="0.35">
      <c r="A640" s="17" t="s">
        <v>733</v>
      </c>
      <c r="B640" s="7">
        <v>45005</v>
      </c>
      <c r="C640" s="22" t="s">
        <v>90</v>
      </c>
      <c r="D640" s="22" t="s">
        <v>65</v>
      </c>
      <c r="E640" s="22" t="s">
        <v>48</v>
      </c>
      <c r="F640" s="27">
        <v>2023</v>
      </c>
      <c r="G640" s="22" t="s">
        <v>25</v>
      </c>
      <c r="H640" s="22" t="s">
        <v>49</v>
      </c>
      <c r="I640" s="22" t="s">
        <v>50</v>
      </c>
      <c r="J640" s="45">
        <v>18000</v>
      </c>
      <c r="K640" s="1">
        <v>5</v>
      </c>
      <c r="L640" s="2">
        <v>5</v>
      </c>
      <c r="M640" s="45">
        <v>85500</v>
      </c>
      <c r="N640" s="45">
        <v>56668</v>
      </c>
      <c r="O640" s="45">
        <v>28832</v>
      </c>
      <c r="P640" s="3">
        <v>33.72</v>
      </c>
      <c r="Q640" s="32" t="s">
        <v>81</v>
      </c>
      <c r="R640" s="32" t="s">
        <v>56</v>
      </c>
      <c r="S640" s="32" t="s">
        <v>40</v>
      </c>
      <c r="T640" s="32" t="s">
        <v>41</v>
      </c>
      <c r="U640" s="38">
        <v>5</v>
      </c>
      <c r="V640" s="9"/>
    </row>
    <row r="641" spans="1:22" x14ac:dyDescent="0.35">
      <c r="A641" s="18" t="s">
        <v>734</v>
      </c>
      <c r="B641" s="8">
        <v>45454</v>
      </c>
      <c r="C641" s="23" t="s">
        <v>83</v>
      </c>
      <c r="D641" s="23" t="s">
        <v>87</v>
      </c>
      <c r="E641" s="23" t="s">
        <v>35</v>
      </c>
      <c r="F641" s="28">
        <v>2024</v>
      </c>
      <c r="G641" s="23" t="s">
        <v>25</v>
      </c>
      <c r="H641" s="23" t="s">
        <v>119</v>
      </c>
      <c r="I641" s="23" t="s">
        <v>63</v>
      </c>
      <c r="J641" s="46">
        <v>16000</v>
      </c>
      <c r="K641" s="4">
        <v>3</v>
      </c>
      <c r="L641" s="5">
        <v>0</v>
      </c>
      <c r="M641" s="46">
        <v>48000</v>
      </c>
      <c r="N641" s="46">
        <v>31523</v>
      </c>
      <c r="O641" s="46">
        <v>16477</v>
      </c>
      <c r="P641" s="6">
        <v>34.33</v>
      </c>
      <c r="Q641" s="33" t="s">
        <v>75</v>
      </c>
      <c r="R641" s="33" t="s">
        <v>56</v>
      </c>
      <c r="S641" s="33" t="s">
        <v>85</v>
      </c>
      <c r="T641" s="33" t="s">
        <v>31</v>
      </c>
      <c r="U641" s="39">
        <v>4</v>
      </c>
      <c r="V641" s="9"/>
    </row>
    <row r="642" spans="1:22" x14ac:dyDescent="0.35">
      <c r="A642" s="17" t="s">
        <v>735</v>
      </c>
      <c r="B642" s="7">
        <v>45201</v>
      </c>
      <c r="C642" s="22" t="s">
        <v>90</v>
      </c>
      <c r="D642" s="22" t="s">
        <v>23</v>
      </c>
      <c r="E642" s="22" t="s">
        <v>24</v>
      </c>
      <c r="F642" s="27">
        <v>2023</v>
      </c>
      <c r="G642" s="22" t="s">
        <v>61</v>
      </c>
      <c r="H642" s="22" t="s">
        <v>88</v>
      </c>
      <c r="I642" s="22" t="s">
        <v>55</v>
      </c>
      <c r="J642" s="45">
        <v>8000</v>
      </c>
      <c r="K642" s="1">
        <v>7</v>
      </c>
      <c r="L642" s="2">
        <v>10</v>
      </c>
      <c r="M642" s="45">
        <v>50400</v>
      </c>
      <c r="N642" s="45">
        <v>33946</v>
      </c>
      <c r="O642" s="45">
        <v>16454</v>
      </c>
      <c r="P642" s="3">
        <v>32.65</v>
      </c>
      <c r="Q642" s="32" t="s">
        <v>28</v>
      </c>
      <c r="R642" s="32" t="s">
        <v>29</v>
      </c>
      <c r="S642" s="32" t="s">
        <v>68</v>
      </c>
      <c r="T642" s="32" t="s">
        <v>41</v>
      </c>
      <c r="U642" s="38">
        <v>2</v>
      </c>
      <c r="V642" s="9"/>
    </row>
    <row r="643" spans="1:22" x14ac:dyDescent="0.35">
      <c r="A643" s="18" t="s">
        <v>736</v>
      </c>
      <c r="B643" s="8">
        <v>45173</v>
      </c>
      <c r="C643" s="23" t="s">
        <v>90</v>
      </c>
      <c r="D643" s="23" t="s">
        <v>79</v>
      </c>
      <c r="E643" s="23" t="s">
        <v>72</v>
      </c>
      <c r="F643" s="28">
        <v>2023</v>
      </c>
      <c r="G643" s="23" t="s">
        <v>61</v>
      </c>
      <c r="H643" s="23" t="s">
        <v>123</v>
      </c>
      <c r="I643" s="23" t="s">
        <v>38</v>
      </c>
      <c r="J643" s="46">
        <v>14000</v>
      </c>
      <c r="K643" s="4">
        <v>7</v>
      </c>
      <c r="L643" s="5">
        <v>5</v>
      </c>
      <c r="M643" s="46">
        <v>93100</v>
      </c>
      <c r="N643" s="46">
        <v>56248</v>
      </c>
      <c r="O643" s="46">
        <v>36852</v>
      </c>
      <c r="P643" s="6">
        <v>39.58</v>
      </c>
      <c r="Q643" s="33" t="s">
        <v>28</v>
      </c>
      <c r="R643" s="33" t="s">
        <v>56</v>
      </c>
      <c r="S643" s="33" t="s">
        <v>40</v>
      </c>
      <c r="T643" s="33" t="s">
        <v>41</v>
      </c>
      <c r="U643" s="39">
        <v>2</v>
      </c>
      <c r="V643" s="9"/>
    </row>
    <row r="644" spans="1:22" x14ac:dyDescent="0.35">
      <c r="A644" s="17" t="s">
        <v>737</v>
      </c>
      <c r="B644" s="7">
        <v>45189</v>
      </c>
      <c r="C644" s="22" t="s">
        <v>22</v>
      </c>
      <c r="D644" s="22" t="s">
        <v>79</v>
      </c>
      <c r="E644" s="22" t="s">
        <v>72</v>
      </c>
      <c r="F644" s="27">
        <v>2023</v>
      </c>
      <c r="G644" s="22" t="s">
        <v>61</v>
      </c>
      <c r="H644" s="22" t="s">
        <v>186</v>
      </c>
      <c r="I644" s="22" t="s">
        <v>55</v>
      </c>
      <c r="J644" s="45">
        <v>20000</v>
      </c>
      <c r="K644" s="1">
        <v>7</v>
      </c>
      <c r="L644" s="2">
        <v>0</v>
      </c>
      <c r="M644" s="45">
        <v>140000</v>
      </c>
      <c r="N644" s="45">
        <v>79703</v>
      </c>
      <c r="O644" s="45">
        <v>60297</v>
      </c>
      <c r="P644" s="3">
        <v>43.07</v>
      </c>
      <c r="Q644" s="32" t="s">
        <v>39</v>
      </c>
      <c r="R644" s="32" t="s">
        <v>76</v>
      </c>
      <c r="S644" s="32" t="s">
        <v>68</v>
      </c>
      <c r="T644" s="32" t="s">
        <v>41</v>
      </c>
      <c r="U644" s="38">
        <v>4</v>
      </c>
      <c r="V644" s="9"/>
    </row>
    <row r="645" spans="1:22" x14ac:dyDescent="0.35">
      <c r="A645" s="18" t="s">
        <v>738</v>
      </c>
      <c r="B645" s="8">
        <v>45500</v>
      </c>
      <c r="C645" s="23" t="s">
        <v>53</v>
      </c>
      <c r="D645" s="23" t="s">
        <v>71</v>
      </c>
      <c r="E645" s="23" t="s">
        <v>72</v>
      </c>
      <c r="F645" s="28">
        <v>2024</v>
      </c>
      <c r="G645" s="23" t="s">
        <v>61</v>
      </c>
      <c r="H645" s="23" t="s">
        <v>98</v>
      </c>
      <c r="I645" s="23" t="s">
        <v>63</v>
      </c>
      <c r="J645" s="46">
        <v>28000</v>
      </c>
      <c r="K645" s="4">
        <v>1</v>
      </c>
      <c r="L645" s="5">
        <v>0</v>
      </c>
      <c r="M645" s="46">
        <v>28000</v>
      </c>
      <c r="N645" s="46">
        <v>16159</v>
      </c>
      <c r="O645" s="46">
        <v>11841</v>
      </c>
      <c r="P645" s="6">
        <v>42.29</v>
      </c>
      <c r="Q645" s="33" t="s">
        <v>39</v>
      </c>
      <c r="R645" s="33" t="s">
        <v>76</v>
      </c>
      <c r="S645" s="33" t="s">
        <v>57</v>
      </c>
      <c r="T645" s="33" t="s">
        <v>31</v>
      </c>
      <c r="U645" s="39">
        <v>1</v>
      </c>
      <c r="V645" s="9"/>
    </row>
    <row r="646" spans="1:22" x14ac:dyDescent="0.35">
      <c r="A646" s="17" t="s">
        <v>739</v>
      </c>
      <c r="B646" s="7">
        <v>45424</v>
      </c>
      <c r="C646" s="22" t="s">
        <v>70</v>
      </c>
      <c r="D646" s="22" t="s">
        <v>116</v>
      </c>
      <c r="E646" s="22" t="s">
        <v>35</v>
      </c>
      <c r="F646" s="27">
        <v>2024</v>
      </c>
      <c r="G646" s="22" t="s">
        <v>43</v>
      </c>
      <c r="H646" s="22" t="s">
        <v>26</v>
      </c>
      <c r="I646" s="22" t="s">
        <v>27</v>
      </c>
      <c r="J646" s="45">
        <v>5000</v>
      </c>
      <c r="K646" s="1">
        <v>2</v>
      </c>
      <c r="L646" s="2">
        <v>0</v>
      </c>
      <c r="M646" s="45">
        <v>10000</v>
      </c>
      <c r="N646" s="45">
        <v>6523</v>
      </c>
      <c r="O646" s="45">
        <v>3477</v>
      </c>
      <c r="P646" s="3">
        <v>34.770000000000003</v>
      </c>
      <c r="Q646" s="32" t="s">
        <v>28</v>
      </c>
      <c r="R646" s="32" t="s">
        <v>67</v>
      </c>
      <c r="S646" s="32" t="s">
        <v>57</v>
      </c>
      <c r="T646" s="32" t="s">
        <v>41</v>
      </c>
      <c r="U646" s="38">
        <v>2</v>
      </c>
      <c r="V646" s="9"/>
    </row>
    <row r="647" spans="1:22" x14ac:dyDescent="0.35">
      <c r="A647" s="18" t="s">
        <v>740</v>
      </c>
      <c r="B647" s="7">
        <v>45582</v>
      </c>
      <c r="C647" s="23" t="s">
        <v>22</v>
      </c>
      <c r="D647" s="23" t="s">
        <v>108</v>
      </c>
      <c r="E647" s="23" t="s">
        <v>72</v>
      </c>
      <c r="F647" s="28">
        <v>2023</v>
      </c>
      <c r="G647" s="23" t="s">
        <v>25</v>
      </c>
      <c r="H647" s="23" t="s">
        <v>101</v>
      </c>
      <c r="I647" s="23" t="s">
        <v>27</v>
      </c>
      <c r="J647" s="46">
        <v>9000</v>
      </c>
      <c r="K647" s="4">
        <v>9</v>
      </c>
      <c r="L647" s="5">
        <v>0</v>
      </c>
      <c r="M647" s="46">
        <v>81000</v>
      </c>
      <c r="N647" s="46">
        <v>51737</v>
      </c>
      <c r="O647" s="46">
        <v>29263</v>
      </c>
      <c r="P647" s="6">
        <v>36.130000000000003</v>
      </c>
      <c r="Q647" s="33" t="s">
        <v>75</v>
      </c>
      <c r="R647" s="33" t="s">
        <v>29</v>
      </c>
      <c r="S647" s="33" t="s">
        <v>57</v>
      </c>
      <c r="T647" s="33" t="s">
        <v>31</v>
      </c>
      <c r="U647" s="39">
        <v>2</v>
      </c>
      <c r="V647" s="9"/>
    </row>
    <row r="648" spans="1:22" x14ac:dyDescent="0.35">
      <c r="A648" s="17" t="s">
        <v>741</v>
      </c>
      <c r="B648" s="8">
        <v>45023</v>
      </c>
      <c r="C648" s="22" t="s">
        <v>78</v>
      </c>
      <c r="D648" s="22" t="s">
        <v>79</v>
      </c>
      <c r="E648" s="22" t="s">
        <v>72</v>
      </c>
      <c r="F648" s="27">
        <v>2024</v>
      </c>
      <c r="G648" s="22" t="s">
        <v>36</v>
      </c>
      <c r="H648" s="22" t="s">
        <v>84</v>
      </c>
      <c r="I648" s="22" t="s">
        <v>27</v>
      </c>
      <c r="J648" s="45">
        <v>8000</v>
      </c>
      <c r="K648" s="1">
        <v>6</v>
      </c>
      <c r="L648" s="2">
        <v>20</v>
      </c>
      <c r="M648" s="45">
        <v>38400</v>
      </c>
      <c r="N648" s="45">
        <v>24934</v>
      </c>
      <c r="O648" s="45">
        <v>13466</v>
      </c>
      <c r="P648" s="3">
        <v>35.07</v>
      </c>
      <c r="Q648" s="32" t="s">
        <v>51</v>
      </c>
      <c r="R648" s="32" t="s">
        <v>56</v>
      </c>
      <c r="S648" s="32" t="s">
        <v>40</v>
      </c>
      <c r="T648" s="32" t="s">
        <v>31</v>
      </c>
      <c r="U648" s="38">
        <v>1</v>
      </c>
      <c r="V648" s="9"/>
    </row>
    <row r="649" spans="1:22" x14ac:dyDescent="0.35">
      <c r="A649" s="18" t="s">
        <v>742</v>
      </c>
      <c r="B649" s="7">
        <v>45212</v>
      </c>
      <c r="C649" s="23" t="s">
        <v>33</v>
      </c>
      <c r="D649" s="23" t="s">
        <v>87</v>
      </c>
      <c r="E649" s="23" t="s">
        <v>35</v>
      </c>
      <c r="F649" s="28">
        <v>2023</v>
      </c>
      <c r="G649" s="23" t="s">
        <v>61</v>
      </c>
      <c r="H649" s="23" t="s">
        <v>123</v>
      </c>
      <c r="I649" s="23" t="s">
        <v>38</v>
      </c>
      <c r="J649" s="46">
        <v>14000</v>
      </c>
      <c r="K649" s="4">
        <v>8</v>
      </c>
      <c r="L649" s="5">
        <v>5</v>
      </c>
      <c r="M649" s="46">
        <v>106400</v>
      </c>
      <c r="N649" s="46">
        <v>63120</v>
      </c>
      <c r="O649" s="46">
        <v>43280</v>
      </c>
      <c r="P649" s="6">
        <v>40.68</v>
      </c>
      <c r="Q649" s="33" t="s">
        <v>75</v>
      </c>
      <c r="R649" s="33" t="s">
        <v>76</v>
      </c>
      <c r="S649" s="33" t="s">
        <v>40</v>
      </c>
      <c r="T649" s="33" t="s">
        <v>31</v>
      </c>
      <c r="U649" s="39">
        <v>3</v>
      </c>
      <c r="V649" s="9"/>
    </row>
    <row r="650" spans="1:22" x14ac:dyDescent="0.35">
      <c r="A650" s="17" t="s">
        <v>743</v>
      </c>
      <c r="B650" s="8">
        <v>45295</v>
      </c>
      <c r="C650" s="22" t="s">
        <v>78</v>
      </c>
      <c r="D650" s="22" t="s">
        <v>71</v>
      </c>
      <c r="E650" s="22" t="s">
        <v>72</v>
      </c>
      <c r="F650" s="27">
        <v>2024</v>
      </c>
      <c r="G650" s="22" t="s">
        <v>61</v>
      </c>
      <c r="H650" s="22" t="s">
        <v>98</v>
      </c>
      <c r="I650" s="22" t="s">
        <v>63</v>
      </c>
      <c r="J650" s="45">
        <v>28000</v>
      </c>
      <c r="K650" s="1">
        <v>4</v>
      </c>
      <c r="L650" s="2">
        <v>0</v>
      </c>
      <c r="M650" s="45">
        <v>112000</v>
      </c>
      <c r="N650" s="45">
        <v>78344</v>
      </c>
      <c r="O650" s="45">
        <v>33656</v>
      </c>
      <c r="P650" s="3">
        <v>30.05</v>
      </c>
      <c r="Q650" s="32" t="s">
        <v>39</v>
      </c>
      <c r="R650" s="32" t="s">
        <v>45</v>
      </c>
      <c r="S650" s="32" t="s">
        <v>40</v>
      </c>
      <c r="T650" s="32" t="s">
        <v>41</v>
      </c>
      <c r="U650" s="38">
        <v>1</v>
      </c>
      <c r="V650" s="9"/>
    </row>
    <row r="651" spans="1:22" x14ac:dyDescent="0.35">
      <c r="A651" s="18" t="s">
        <v>744</v>
      </c>
      <c r="B651" s="7">
        <v>45228</v>
      </c>
      <c r="C651" s="23" t="s">
        <v>83</v>
      </c>
      <c r="D651" s="23" t="s">
        <v>23</v>
      </c>
      <c r="E651" s="23" t="s">
        <v>24</v>
      </c>
      <c r="F651" s="28">
        <v>2024</v>
      </c>
      <c r="G651" s="23" t="s">
        <v>25</v>
      </c>
      <c r="H651" s="23" t="s">
        <v>80</v>
      </c>
      <c r="I651" s="23" t="s">
        <v>55</v>
      </c>
      <c r="J651" s="46">
        <v>25000</v>
      </c>
      <c r="K651" s="4">
        <v>1</v>
      </c>
      <c r="L651" s="5">
        <v>15</v>
      </c>
      <c r="M651" s="46">
        <v>21250</v>
      </c>
      <c r="N651" s="46">
        <v>15002</v>
      </c>
      <c r="O651" s="46">
        <v>6248</v>
      </c>
      <c r="P651" s="6">
        <v>29.4</v>
      </c>
      <c r="Q651" s="33" t="s">
        <v>39</v>
      </c>
      <c r="R651" s="33" t="s">
        <v>45</v>
      </c>
      <c r="S651" s="33" t="s">
        <v>85</v>
      </c>
      <c r="T651" s="33" t="s">
        <v>41</v>
      </c>
      <c r="U651" s="39">
        <v>3</v>
      </c>
      <c r="V651" s="9"/>
    </row>
    <row r="652" spans="1:22" x14ac:dyDescent="0.35">
      <c r="A652" s="17" t="s">
        <v>745</v>
      </c>
      <c r="B652" s="8">
        <v>45317</v>
      </c>
      <c r="C652" s="22" t="s">
        <v>90</v>
      </c>
      <c r="D652" s="22" t="s">
        <v>97</v>
      </c>
      <c r="E652" s="22" t="s">
        <v>24</v>
      </c>
      <c r="F652" s="27">
        <v>2024</v>
      </c>
      <c r="G652" s="22" t="s">
        <v>61</v>
      </c>
      <c r="H652" s="22" t="s">
        <v>101</v>
      </c>
      <c r="I652" s="22" t="s">
        <v>27</v>
      </c>
      <c r="J652" s="45">
        <v>9000</v>
      </c>
      <c r="K652" s="1">
        <v>4</v>
      </c>
      <c r="L652" s="2">
        <v>20</v>
      </c>
      <c r="M652" s="45">
        <v>28800</v>
      </c>
      <c r="N652" s="45">
        <v>18006</v>
      </c>
      <c r="O652" s="45">
        <v>10794</v>
      </c>
      <c r="P652" s="3">
        <v>37.479999999999997</v>
      </c>
      <c r="Q652" s="32" t="s">
        <v>28</v>
      </c>
      <c r="R652" s="32" t="s">
        <v>67</v>
      </c>
      <c r="S652" s="32" t="s">
        <v>57</v>
      </c>
      <c r="T652" s="32" t="s">
        <v>31</v>
      </c>
      <c r="U652" s="38">
        <v>2</v>
      </c>
      <c r="V652" s="9"/>
    </row>
    <row r="653" spans="1:22" x14ac:dyDescent="0.35">
      <c r="A653" s="18" t="s">
        <v>746</v>
      </c>
      <c r="B653" s="7">
        <v>45401</v>
      </c>
      <c r="C653" s="23" t="s">
        <v>22</v>
      </c>
      <c r="D653" s="23" t="s">
        <v>110</v>
      </c>
      <c r="E653" s="23" t="s">
        <v>24</v>
      </c>
      <c r="F653" s="28">
        <v>2023</v>
      </c>
      <c r="G653" s="23" t="s">
        <v>43</v>
      </c>
      <c r="H653" s="23" t="s">
        <v>37</v>
      </c>
      <c r="I653" s="23" t="s">
        <v>38</v>
      </c>
      <c r="J653" s="46">
        <v>10000</v>
      </c>
      <c r="K653" s="4">
        <v>8</v>
      </c>
      <c r="L653" s="5">
        <v>15</v>
      </c>
      <c r="M653" s="46">
        <v>68000</v>
      </c>
      <c r="N653" s="46">
        <v>41067</v>
      </c>
      <c r="O653" s="46">
        <v>26933</v>
      </c>
      <c r="P653" s="6">
        <v>39.61</v>
      </c>
      <c r="Q653" s="33" t="s">
        <v>51</v>
      </c>
      <c r="R653" s="33" t="s">
        <v>76</v>
      </c>
      <c r="S653" s="33" t="s">
        <v>57</v>
      </c>
      <c r="T653" s="33" t="s">
        <v>41</v>
      </c>
      <c r="U653" s="39">
        <v>4</v>
      </c>
      <c r="V653" s="9"/>
    </row>
    <row r="654" spans="1:22" x14ac:dyDescent="0.35">
      <c r="A654" s="17" t="s">
        <v>747</v>
      </c>
      <c r="B654" s="8">
        <v>44995</v>
      </c>
      <c r="C654" s="22" t="s">
        <v>83</v>
      </c>
      <c r="D654" s="22" t="s">
        <v>74</v>
      </c>
      <c r="E654" s="22" t="s">
        <v>48</v>
      </c>
      <c r="F654" s="27">
        <v>2024</v>
      </c>
      <c r="G654" s="22" t="s">
        <v>61</v>
      </c>
      <c r="H654" s="22" t="s">
        <v>59</v>
      </c>
      <c r="I654" s="22" t="s">
        <v>50</v>
      </c>
      <c r="J654" s="45">
        <v>22000</v>
      </c>
      <c r="K654" s="1">
        <v>2</v>
      </c>
      <c r="L654" s="2">
        <v>20</v>
      </c>
      <c r="M654" s="45">
        <v>35200</v>
      </c>
      <c r="N654" s="45">
        <v>20319</v>
      </c>
      <c r="O654" s="45">
        <v>14881</v>
      </c>
      <c r="P654" s="3">
        <v>42.28</v>
      </c>
      <c r="Q654" s="32" t="s">
        <v>81</v>
      </c>
      <c r="R654" s="32" t="s">
        <v>29</v>
      </c>
      <c r="S654" s="32" t="s">
        <v>30</v>
      </c>
      <c r="T654" s="32" t="s">
        <v>41</v>
      </c>
      <c r="U654" s="38">
        <v>5</v>
      </c>
      <c r="V654" s="9"/>
    </row>
    <row r="655" spans="1:22" x14ac:dyDescent="0.35">
      <c r="A655" s="18" t="s">
        <v>748</v>
      </c>
      <c r="B655" s="7">
        <v>45502</v>
      </c>
      <c r="C655" s="23" t="s">
        <v>70</v>
      </c>
      <c r="D655" s="23" t="s">
        <v>71</v>
      </c>
      <c r="E655" s="23" t="s">
        <v>72</v>
      </c>
      <c r="F655" s="28">
        <v>2024</v>
      </c>
      <c r="G655" s="23" t="s">
        <v>43</v>
      </c>
      <c r="H655" s="23" t="s">
        <v>59</v>
      </c>
      <c r="I655" s="23" t="s">
        <v>50</v>
      </c>
      <c r="J655" s="46">
        <v>22000</v>
      </c>
      <c r="K655" s="4">
        <v>1</v>
      </c>
      <c r="L655" s="5">
        <v>20</v>
      </c>
      <c r="M655" s="46">
        <v>17600</v>
      </c>
      <c r="N655" s="46">
        <v>9836</v>
      </c>
      <c r="O655" s="46">
        <v>7764</v>
      </c>
      <c r="P655" s="6">
        <v>44.11</v>
      </c>
      <c r="Q655" s="33" t="s">
        <v>39</v>
      </c>
      <c r="R655" s="33" t="s">
        <v>67</v>
      </c>
      <c r="S655" s="33" t="s">
        <v>68</v>
      </c>
      <c r="T655" s="33" t="s">
        <v>41</v>
      </c>
      <c r="U655" s="39">
        <v>2</v>
      </c>
      <c r="V655" s="9"/>
    </row>
    <row r="656" spans="1:22" x14ac:dyDescent="0.35">
      <c r="A656" s="17" t="s">
        <v>749</v>
      </c>
      <c r="B656" s="8">
        <v>44976</v>
      </c>
      <c r="C656" s="22" t="s">
        <v>53</v>
      </c>
      <c r="D656" s="22" t="s">
        <v>23</v>
      </c>
      <c r="E656" s="22" t="s">
        <v>24</v>
      </c>
      <c r="F656" s="27">
        <v>2024</v>
      </c>
      <c r="G656" s="22" t="s">
        <v>25</v>
      </c>
      <c r="H656" s="22" t="s">
        <v>145</v>
      </c>
      <c r="I656" s="22" t="s">
        <v>50</v>
      </c>
      <c r="J656" s="45">
        <v>12000</v>
      </c>
      <c r="K656" s="1">
        <v>10</v>
      </c>
      <c r="L656" s="2">
        <v>0</v>
      </c>
      <c r="M656" s="45">
        <v>120000</v>
      </c>
      <c r="N656" s="45">
        <v>68261</v>
      </c>
      <c r="O656" s="45">
        <v>51739</v>
      </c>
      <c r="P656" s="3">
        <v>43.12</v>
      </c>
      <c r="Q656" s="32" t="s">
        <v>39</v>
      </c>
      <c r="R656" s="32" t="s">
        <v>29</v>
      </c>
      <c r="S656" s="32" t="s">
        <v>68</v>
      </c>
      <c r="T656" s="32" t="s">
        <v>41</v>
      </c>
      <c r="U656" s="38">
        <v>4</v>
      </c>
      <c r="V656" s="9"/>
    </row>
    <row r="657" spans="1:22" x14ac:dyDescent="0.35">
      <c r="A657" s="18" t="s">
        <v>750</v>
      </c>
      <c r="B657" s="7">
        <v>45185</v>
      </c>
      <c r="C657" s="23" t="s">
        <v>53</v>
      </c>
      <c r="D657" s="23" t="s">
        <v>116</v>
      </c>
      <c r="E657" s="23" t="s">
        <v>35</v>
      </c>
      <c r="F657" s="28">
        <v>2024</v>
      </c>
      <c r="G657" s="23" t="s">
        <v>43</v>
      </c>
      <c r="H657" s="23" t="s">
        <v>123</v>
      </c>
      <c r="I657" s="23" t="s">
        <v>38</v>
      </c>
      <c r="J657" s="46">
        <v>14000</v>
      </c>
      <c r="K657" s="4">
        <v>3</v>
      </c>
      <c r="L657" s="5">
        <v>15</v>
      </c>
      <c r="M657" s="46">
        <v>35700</v>
      </c>
      <c r="N657" s="46">
        <v>23234</v>
      </c>
      <c r="O657" s="46">
        <v>12466</v>
      </c>
      <c r="P657" s="6">
        <v>34.92</v>
      </c>
      <c r="Q657" s="33" t="s">
        <v>81</v>
      </c>
      <c r="R657" s="33" t="s">
        <v>45</v>
      </c>
      <c r="S657" s="33" t="s">
        <v>68</v>
      </c>
      <c r="T657" s="33" t="s">
        <v>41</v>
      </c>
      <c r="U657" s="39">
        <v>3</v>
      </c>
      <c r="V657" s="9"/>
    </row>
    <row r="658" spans="1:22" x14ac:dyDescent="0.35">
      <c r="A658" s="17" t="s">
        <v>751</v>
      </c>
      <c r="B658" s="8">
        <v>45392</v>
      </c>
      <c r="C658" s="22" t="s">
        <v>33</v>
      </c>
      <c r="D658" s="22" t="s">
        <v>71</v>
      </c>
      <c r="E658" s="22" t="s">
        <v>72</v>
      </c>
      <c r="F658" s="27">
        <v>2023</v>
      </c>
      <c r="G658" s="22" t="s">
        <v>36</v>
      </c>
      <c r="H658" s="22" t="s">
        <v>98</v>
      </c>
      <c r="I658" s="22" t="s">
        <v>63</v>
      </c>
      <c r="J658" s="45">
        <v>28000</v>
      </c>
      <c r="K658" s="1">
        <v>10</v>
      </c>
      <c r="L658" s="2">
        <v>0</v>
      </c>
      <c r="M658" s="45">
        <v>280000</v>
      </c>
      <c r="N658" s="45">
        <v>154987</v>
      </c>
      <c r="O658" s="45">
        <v>125013</v>
      </c>
      <c r="P658" s="3">
        <v>44.65</v>
      </c>
      <c r="Q658" s="32" t="s">
        <v>28</v>
      </c>
      <c r="R658" s="32" t="s">
        <v>29</v>
      </c>
      <c r="S658" s="32" t="s">
        <v>85</v>
      </c>
      <c r="T658" s="32" t="s">
        <v>31</v>
      </c>
      <c r="U658" s="38">
        <v>4</v>
      </c>
      <c r="V658" s="9"/>
    </row>
    <row r="659" spans="1:22" x14ac:dyDescent="0.35">
      <c r="A659" s="18" t="s">
        <v>752</v>
      </c>
      <c r="B659" s="7">
        <v>45093</v>
      </c>
      <c r="C659" s="23" t="s">
        <v>70</v>
      </c>
      <c r="D659" s="23" t="s">
        <v>71</v>
      </c>
      <c r="E659" s="23" t="s">
        <v>72</v>
      </c>
      <c r="F659" s="28">
        <v>2023</v>
      </c>
      <c r="G659" s="23" t="s">
        <v>43</v>
      </c>
      <c r="H659" s="23" t="s">
        <v>104</v>
      </c>
      <c r="I659" s="23" t="s">
        <v>50</v>
      </c>
      <c r="J659" s="46">
        <v>15000</v>
      </c>
      <c r="K659" s="4">
        <v>1</v>
      </c>
      <c r="L659" s="5">
        <v>5</v>
      </c>
      <c r="M659" s="46">
        <v>14250</v>
      </c>
      <c r="N659" s="46">
        <v>9335</v>
      </c>
      <c r="O659" s="46">
        <v>4915</v>
      </c>
      <c r="P659" s="6">
        <v>34.49</v>
      </c>
      <c r="Q659" s="33" t="s">
        <v>75</v>
      </c>
      <c r="R659" s="33" t="s">
        <v>45</v>
      </c>
      <c r="S659" s="33" t="s">
        <v>68</v>
      </c>
      <c r="T659" s="33" t="s">
        <v>41</v>
      </c>
      <c r="U659" s="39">
        <v>2</v>
      </c>
      <c r="V659" s="9"/>
    </row>
    <row r="660" spans="1:22" x14ac:dyDescent="0.35">
      <c r="A660" s="17" t="s">
        <v>753</v>
      </c>
      <c r="B660" s="8">
        <v>45174</v>
      </c>
      <c r="C660" s="22" t="s">
        <v>53</v>
      </c>
      <c r="D660" s="22" t="s">
        <v>108</v>
      </c>
      <c r="E660" s="22" t="s">
        <v>72</v>
      </c>
      <c r="F660" s="27">
        <v>2024</v>
      </c>
      <c r="G660" s="22" t="s">
        <v>36</v>
      </c>
      <c r="H660" s="22" t="s">
        <v>26</v>
      </c>
      <c r="I660" s="22" t="s">
        <v>27</v>
      </c>
      <c r="J660" s="45">
        <v>5000</v>
      </c>
      <c r="K660" s="1">
        <v>9</v>
      </c>
      <c r="L660" s="2">
        <v>5</v>
      </c>
      <c r="M660" s="45">
        <v>42750</v>
      </c>
      <c r="N660" s="45">
        <v>29133</v>
      </c>
      <c r="O660" s="45">
        <v>13617</v>
      </c>
      <c r="P660" s="3">
        <v>31.85</v>
      </c>
      <c r="Q660" s="32" t="s">
        <v>51</v>
      </c>
      <c r="R660" s="32" t="s">
        <v>67</v>
      </c>
      <c r="S660" s="32" t="s">
        <v>30</v>
      </c>
      <c r="T660" s="32" t="s">
        <v>31</v>
      </c>
      <c r="U660" s="38">
        <v>2</v>
      </c>
      <c r="V660" s="9"/>
    </row>
    <row r="661" spans="1:22" x14ac:dyDescent="0.35">
      <c r="A661" s="18" t="s">
        <v>754</v>
      </c>
      <c r="B661" s="7">
        <v>45097</v>
      </c>
      <c r="C661" s="23" t="s">
        <v>53</v>
      </c>
      <c r="D661" s="23" t="s">
        <v>79</v>
      </c>
      <c r="E661" s="23" t="s">
        <v>72</v>
      </c>
      <c r="F661" s="28">
        <v>2023</v>
      </c>
      <c r="G661" s="23" t="s">
        <v>61</v>
      </c>
      <c r="H661" s="23" t="s">
        <v>59</v>
      </c>
      <c r="I661" s="23" t="s">
        <v>50</v>
      </c>
      <c r="J661" s="46">
        <v>22000</v>
      </c>
      <c r="K661" s="4">
        <v>7</v>
      </c>
      <c r="L661" s="5">
        <v>0</v>
      </c>
      <c r="M661" s="46">
        <v>154000</v>
      </c>
      <c r="N661" s="46">
        <v>95992</v>
      </c>
      <c r="O661" s="46">
        <v>58008</v>
      </c>
      <c r="P661" s="6">
        <v>37.67</v>
      </c>
      <c r="Q661" s="33" t="s">
        <v>39</v>
      </c>
      <c r="R661" s="33" t="s">
        <v>29</v>
      </c>
      <c r="S661" s="33" t="s">
        <v>68</v>
      </c>
      <c r="T661" s="33" t="s">
        <v>31</v>
      </c>
      <c r="U661" s="39">
        <v>4</v>
      </c>
      <c r="V661" s="9"/>
    </row>
    <row r="662" spans="1:22" x14ac:dyDescent="0.35">
      <c r="A662" s="17" t="s">
        <v>755</v>
      </c>
      <c r="B662" s="8">
        <v>45457</v>
      </c>
      <c r="C662" s="22" t="s">
        <v>83</v>
      </c>
      <c r="D662" s="22" t="s">
        <v>71</v>
      </c>
      <c r="E662" s="22" t="s">
        <v>72</v>
      </c>
      <c r="F662" s="27">
        <v>2023</v>
      </c>
      <c r="G662" s="22" t="s">
        <v>36</v>
      </c>
      <c r="H662" s="22" t="s">
        <v>131</v>
      </c>
      <c r="I662" s="22" t="s">
        <v>63</v>
      </c>
      <c r="J662" s="45">
        <v>10000</v>
      </c>
      <c r="K662" s="1">
        <v>1</v>
      </c>
      <c r="L662" s="2">
        <v>0</v>
      </c>
      <c r="M662" s="45">
        <v>10000</v>
      </c>
      <c r="N662" s="45">
        <v>7159</v>
      </c>
      <c r="O662" s="45">
        <v>2841</v>
      </c>
      <c r="P662" s="3">
        <v>28.41</v>
      </c>
      <c r="Q662" s="32" t="s">
        <v>39</v>
      </c>
      <c r="R662" s="32" t="s">
        <v>29</v>
      </c>
      <c r="S662" s="32" t="s">
        <v>40</v>
      </c>
      <c r="T662" s="32" t="s">
        <v>41</v>
      </c>
      <c r="U662" s="38">
        <v>5</v>
      </c>
      <c r="V662" s="9"/>
    </row>
    <row r="663" spans="1:22" x14ac:dyDescent="0.35">
      <c r="A663" s="18" t="s">
        <v>756</v>
      </c>
      <c r="B663" s="7">
        <v>45000</v>
      </c>
      <c r="C663" s="23" t="s">
        <v>70</v>
      </c>
      <c r="D663" s="23" t="s">
        <v>97</v>
      </c>
      <c r="E663" s="23" t="s">
        <v>24</v>
      </c>
      <c r="F663" s="28">
        <v>2024</v>
      </c>
      <c r="G663" s="23" t="s">
        <v>25</v>
      </c>
      <c r="H663" s="23" t="s">
        <v>93</v>
      </c>
      <c r="I663" s="23" t="s">
        <v>63</v>
      </c>
      <c r="J663" s="46">
        <v>14000</v>
      </c>
      <c r="K663" s="4">
        <v>1</v>
      </c>
      <c r="L663" s="5">
        <v>5</v>
      </c>
      <c r="M663" s="46">
        <v>13300</v>
      </c>
      <c r="N663" s="46">
        <v>7616</v>
      </c>
      <c r="O663" s="46">
        <v>5684</v>
      </c>
      <c r="P663" s="6">
        <v>42.74</v>
      </c>
      <c r="Q663" s="33" t="s">
        <v>81</v>
      </c>
      <c r="R663" s="33" t="s">
        <v>67</v>
      </c>
      <c r="S663" s="33" t="s">
        <v>68</v>
      </c>
      <c r="T663" s="33" t="s">
        <v>41</v>
      </c>
      <c r="U663" s="39">
        <v>5</v>
      </c>
      <c r="V663" s="9"/>
    </row>
    <row r="664" spans="1:22" x14ac:dyDescent="0.35">
      <c r="A664" s="17" t="s">
        <v>757</v>
      </c>
      <c r="B664" s="8">
        <v>45480</v>
      </c>
      <c r="C664" s="22" t="s">
        <v>22</v>
      </c>
      <c r="D664" s="22" t="s">
        <v>79</v>
      </c>
      <c r="E664" s="22" t="s">
        <v>72</v>
      </c>
      <c r="F664" s="27">
        <v>2023</v>
      </c>
      <c r="G664" s="22" t="s">
        <v>43</v>
      </c>
      <c r="H664" s="22" t="s">
        <v>26</v>
      </c>
      <c r="I664" s="22" t="s">
        <v>27</v>
      </c>
      <c r="J664" s="45">
        <v>5000</v>
      </c>
      <c r="K664" s="1">
        <v>9</v>
      </c>
      <c r="L664" s="2">
        <v>0</v>
      </c>
      <c r="M664" s="45">
        <v>45000</v>
      </c>
      <c r="N664" s="45">
        <v>25149</v>
      </c>
      <c r="O664" s="45">
        <v>19851</v>
      </c>
      <c r="P664" s="3">
        <v>44.11</v>
      </c>
      <c r="Q664" s="32" t="s">
        <v>39</v>
      </c>
      <c r="R664" s="32" t="s">
        <v>67</v>
      </c>
      <c r="S664" s="32" t="s">
        <v>57</v>
      </c>
      <c r="T664" s="32" t="s">
        <v>31</v>
      </c>
      <c r="U664" s="38">
        <v>3</v>
      </c>
      <c r="V664" s="9"/>
    </row>
    <row r="665" spans="1:22" x14ac:dyDescent="0.35">
      <c r="A665" s="18" t="s">
        <v>758</v>
      </c>
      <c r="B665" s="7">
        <v>45290</v>
      </c>
      <c r="C665" s="23" t="s">
        <v>78</v>
      </c>
      <c r="D665" s="23" t="s">
        <v>116</v>
      </c>
      <c r="E665" s="23" t="s">
        <v>35</v>
      </c>
      <c r="F665" s="28">
        <v>2024</v>
      </c>
      <c r="G665" s="23" t="s">
        <v>36</v>
      </c>
      <c r="H665" s="23" t="s">
        <v>126</v>
      </c>
      <c r="I665" s="23" t="s">
        <v>55</v>
      </c>
      <c r="J665" s="46">
        <v>12000</v>
      </c>
      <c r="K665" s="4">
        <v>5</v>
      </c>
      <c r="L665" s="5">
        <v>5</v>
      </c>
      <c r="M665" s="46">
        <v>57000</v>
      </c>
      <c r="N665" s="46">
        <v>37855</v>
      </c>
      <c r="O665" s="46">
        <v>19145</v>
      </c>
      <c r="P665" s="6">
        <v>33.590000000000003</v>
      </c>
      <c r="Q665" s="33" t="s">
        <v>39</v>
      </c>
      <c r="R665" s="33" t="s">
        <v>29</v>
      </c>
      <c r="S665" s="33" t="s">
        <v>30</v>
      </c>
      <c r="T665" s="33" t="s">
        <v>41</v>
      </c>
      <c r="U665" s="39">
        <v>2</v>
      </c>
      <c r="V665" s="9"/>
    </row>
    <row r="666" spans="1:22" x14ac:dyDescent="0.35">
      <c r="A666" s="17" t="s">
        <v>759</v>
      </c>
      <c r="B666" s="8">
        <v>45124</v>
      </c>
      <c r="C666" s="22" t="s">
        <v>33</v>
      </c>
      <c r="D666" s="22" t="s">
        <v>116</v>
      </c>
      <c r="E666" s="22" t="s">
        <v>35</v>
      </c>
      <c r="F666" s="27">
        <v>2024</v>
      </c>
      <c r="G666" s="22" t="s">
        <v>61</v>
      </c>
      <c r="H666" s="22" t="s">
        <v>62</v>
      </c>
      <c r="I666" s="22" t="s">
        <v>63</v>
      </c>
      <c r="J666" s="45">
        <v>5000</v>
      </c>
      <c r="K666" s="1">
        <v>8</v>
      </c>
      <c r="L666" s="2">
        <v>0</v>
      </c>
      <c r="M666" s="45">
        <v>40000</v>
      </c>
      <c r="N666" s="45">
        <v>22610</v>
      </c>
      <c r="O666" s="45">
        <v>17390</v>
      </c>
      <c r="P666" s="3">
        <v>43.48</v>
      </c>
      <c r="Q666" s="32" t="s">
        <v>75</v>
      </c>
      <c r="R666" s="32" t="s">
        <v>67</v>
      </c>
      <c r="S666" s="32" t="s">
        <v>68</v>
      </c>
      <c r="T666" s="32" t="s">
        <v>31</v>
      </c>
      <c r="U666" s="38">
        <v>3</v>
      </c>
      <c r="V666" s="9"/>
    </row>
    <row r="667" spans="1:22" x14ac:dyDescent="0.35">
      <c r="A667" s="18" t="s">
        <v>760</v>
      </c>
      <c r="B667" s="7">
        <v>45028</v>
      </c>
      <c r="C667" s="23" t="s">
        <v>22</v>
      </c>
      <c r="D667" s="23" t="s">
        <v>74</v>
      </c>
      <c r="E667" s="23" t="s">
        <v>48</v>
      </c>
      <c r="F667" s="28">
        <v>2023</v>
      </c>
      <c r="G667" s="23" t="s">
        <v>61</v>
      </c>
      <c r="H667" s="23" t="s">
        <v>113</v>
      </c>
      <c r="I667" s="23" t="s">
        <v>38</v>
      </c>
      <c r="J667" s="46">
        <v>3500</v>
      </c>
      <c r="K667" s="4">
        <v>5</v>
      </c>
      <c r="L667" s="5">
        <v>15</v>
      </c>
      <c r="M667" s="46">
        <v>14875</v>
      </c>
      <c r="N667" s="46">
        <v>9093</v>
      </c>
      <c r="O667" s="46">
        <v>5782</v>
      </c>
      <c r="P667" s="6">
        <v>38.869999999999997</v>
      </c>
      <c r="Q667" s="33" t="s">
        <v>51</v>
      </c>
      <c r="R667" s="33" t="s">
        <v>45</v>
      </c>
      <c r="S667" s="33" t="s">
        <v>57</v>
      </c>
      <c r="T667" s="33" t="s">
        <v>41</v>
      </c>
      <c r="U667" s="39">
        <v>4</v>
      </c>
      <c r="V667" s="9"/>
    </row>
    <row r="668" spans="1:22" x14ac:dyDescent="0.35">
      <c r="A668" s="17" t="s">
        <v>761</v>
      </c>
      <c r="B668" s="8">
        <v>45338</v>
      </c>
      <c r="C668" s="22" t="s">
        <v>70</v>
      </c>
      <c r="D668" s="22" t="s">
        <v>87</v>
      </c>
      <c r="E668" s="22" t="s">
        <v>35</v>
      </c>
      <c r="F668" s="27">
        <v>2023</v>
      </c>
      <c r="G668" s="22" t="s">
        <v>36</v>
      </c>
      <c r="H668" s="22" t="s">
        <v>59</v>
      </c>
      <c r="I668" s="22" t="s">
        <v>50</v>
      </c>
      <c r="J668" s="45">
        <v>22000</v>
      </c>
      <c r="K668" s="1">
        <v>3</v>
      </c>
      <c r="L668" s="2">
        <v>10</v>
      </c>
      <c r="M668" s="45">
        <v>59400</v>
      </c>
      <c r="N668" s="45">
        <v>41284</v>
      </c>
      <c r="O668" s="45">
        <v>18116</v>
      </c>
      <c r="P668" s="3">
        <v>30.5</v>
      </c>
      <c r="Q668" s="32" t="s">
        <v>51</v>
      </c>
      <c r="R668" s="32" t="s">
        <v>76</v>
      </c>
      <c r="S668" s="32" t="s">
        <v>68</v>
      </c>
      <c r="T668" s="32" t="s">
        <v>31</v>
      </c>
      <c r="U668" s="38">
        <v>2</v>
      </c>
      <c r="V668" s="9"/>
    </row>
    <row r="669" spans="1:22" x14ac:dyDescent="0.35">
      <c r="A669" s="18" t="s">
        <v>762</v>
      </c>
      <c r="B669" s="7">
        <v>45122</v>
      </c>
      <c r="C669" s="23" t="s">
        <v>78</v>
      </c>
      <c r="D669" s="23" t="s">
        <v>71</v>
      </c>
      <c r="E669" s="23" t="s">
        <v>72</v>
      </c>
      <c r="F669" s="28">
        <v>2023</v>
      </c>
      <c r="G669" s="23" t="s">
        <v>43</v>
      </c>
      <c r="H669" s="23" t="s">
        <v>174</v>
      </c>
      <c r="I669" s="23" t="s">
        <v>27</v>
      </c>
      <c r="J669" s="46">
        <v>12000</v>
      </c>
      <c r="K669" s="4">
        <v>5</v>
      </c>
      <c r="L669" s="5">
        <v>0</v>
      </c>
      <c r="M669" s="46">
        <v>60000</v>
      </c>
      <c r="N669" s="46">
        <v>40201</v>
      </c>
      <c r="O669" s="46">
        <v>19799</v>
      </c>
      <c r="P669" s="6">
        <v>33</v>
      </c>
      <c r="Q669" s="33" t="s">
        <v>51</v>
      </c>
      <c r="R669" s="33" t="s">
        <v>76</v>
      </c>
      <c r="S669" s="33" t="s">
        <v>40</v>
      </c>
      <c r="T669" s="33" t="s">
        <v>41</v>
      </c>
      <c r="U669" s="39">
        <v>3</v>
      </c>
      <c r="V669" s="9"/>
    </row>
    <row r="670" spans="1:22" x14ac:dyDescent="0.35">
      <c r="A670" s="17" t="s">
        <v>763</v>
      </c>
      <c r="B670" s="8">
        <v>45471</v>
      </c>
      <c r="C670" s="22" t="s">
        <v>78</v>
      </c>
      <c r="D670" s="22" t="s">
        <v>97</v>
      </c>
      <c r="E670" s="22" t="s">
        <v>24</v>
      </c>
      <c r="F670" s="27">
        <v>2024</v>
      </c>
      <c r="G670" s="22" t="s">
        <v>43</v>
      </c>
      <c r="H670" s="22" t="s">
        <v>126</v>
      </c>
      <c r="I670" s="22" t="s">
        <v>55</v>
      </c>
      <c r="J670" s="45">
        <v>12000</v>
      </c>
      <c r="K670" s="1">
        <v>8</v>
      </c>
      <c r="L670" s="2">
        <v>5</v>
      </c>
      <c r="M670" s="45">
        <v>91200</v>
      </c>
      <c r="N670" s="45">
        <v>51904</v>
      </c>
      <c r="O670" s="45">
        <v>39296</v>
      </c>
      <c r="P670" s="3">
        <v>43.09</v>
      </c>
      <c r="Q670" s="32" t="s">
        <v>39</v>
      </c>
      <c r="R670" s="32" t="s">
        <v>76</v>
      </c>
      <c r="S670" s="32" t="s">
        <v>57</v>
      </c>
      <c r="T670" s="32" t="s">
        <v>31</v>
      </c>
      <c r="U670" s="38">
        <v>3</v>
      </c>
      <c r="V670" s="9"/>
    </row>
    <row r="671" spans="1:22" x14ac:dyDescent="0.35">
      <c r="A671" s="18" t="s">
        <v>764</v>
      </c>
      <c r="B671" s="7">
        <v>45511</v>
      </c>
      <c r="C671" s="23" t="s">
        <v>83</v>
      </c>
      <c r="D671" s="23" t="s">
        <v>71</v>
      </c>
      <c r="E671" s="23" t="s">
        <v>72</v>
      </c>
      <c r="F671" s="28">
        <v>2023</v>
      </c>
      <c r="G671" s="23" t="s">
        <v>43</v>
      </c>
      <c r="H671" s="23" t="s">
        <v>66</v>
      </c>
      <c r="I671" s="23" t="s">
        <v>38</v>
      </c>
      <c r="J671" s="46">
        <v>11000</v>
      </c>
      <c r="K671" s="4">
        <v>5</v>
      </c>
      <c r="L671" s="5">
        <v>10</v>
      </c>
      <c r="M671" s="46">
        <v>49500</v>
      </c>
      <c r="N671" s="46">
        <v>34722</v>
      </c>
      <c r="O671" s="46">
        <v>14778</v>
      </c>
      <c r="P671" s="6">
        <v>29.85</v>
      </c>
      <c r="Q671" s="33" t="s">
        <v>75</v>
      </c>
      <c r="R671" s="33" t="s">
        <v>56</v>
      </c>
      <c r="S671" s="33" t="s">
        <v>85</v>
      </c>
      <c r="T671" s="33" t="s">
        <v>31</v>
      </c>
      <c r="U671" s="39">
        <v>4</v>
      </c>
      <c r="V671" s="9"/>
    </row>
    <row r="672" spans="1:22" x14ac:dyDescent="0.35">
      <c r="A672" s="17" t="s">
        <v>765</v>
      </c>
      <c r="B672" s="8">
        <v>45613</v>
      </c>
      <c r="C672" s="22" t="s">
        <v>90</v>
      </c>
      <c r="D672" s="22" t="s">
        <v>65</v>
      </c>
      <c r="E672" s="22" t="s">
        <v>48</v>
      </c>
      <c r="F672" s="27">
        <v>2023</v>
      </c>
      <c r="G672" s="22" t="s">
        <v>43</v>
      </c>
      <c r="H672" s="22" t="s">
        <v>113</v>
      </c>
      <c r="I672" s="22" t="s">
        <v>38</v>
      </c>
      <c r="J672" s="45">
        <v>3500</v>
      </c>
      <c r="K672" s="1">
        <v>2</v>
      </c>
      <c r="L672" s="2">
        <v>0</v>
      </c>
      <c r="M672" s="45">
        <v>7000</v>
      </c>
      <c r="N672" s="45">
        <v>3881</v>
      </c>
      <c r="O672" s="45">
        <v>3119</v>
      </c>
      <c r="P672" s="3">
        <v>44.56</v>
      </c>
      <c r="Q672" s="32" t="s">
        <v>28</v>
      </c>
      <c r="R672" s="32" t="s">
        <v>67</v>
      </c>
      <c r="S672" s="32" t="s">
        <v>57</v>
      </c>
      <c r="T672" s="32" t="s">
        <v>41</v>
      </c>
      <c r="U672" s="38">
        <v>2</v>
      </c>
      <c r="V672" s="9"/>
    </row>
    <row r="673" spans="1:22" x14ac:dyDescent="0.35">
      <c r="A673" s="18" t="s">
        <v>766</v>
      </c>
      <c r="B673" s="7">
        <v>45564</v>
      </c>
      <c r="C673" s="23" t="s">
        <v>90</v>
      </c>
      <c r="D673" s="23" t="s">
        <v>47</v>
      </c>
      <c r="E673" s="23" t="s">
        <v>48</v>
      </c>
      <c r="F673" s="28">
        <v>2023</v>
      </c>
      <c r="G673" s="23" t="s">
        <v>61</v>
      </c>
      <c r="H673" s="23" t="s">
        <v>174</v>
      </c>
      <c r="I673" s="23" t="s">
        <v>27</v>
      </c>
      <c r="J673" s="46">
        <v>12000</v>
      </c>
      <c r="K673" s="4">
        <v>8</v>
      </c>
      <c r="L673" s="5">
        <v>5</v>
      </c>
      <c r="M673" s="46">
        <v>91200</v>
      </c>
      <c r="N673" s="46">
        <v>59902</v>
      </c>
      <c r="O673" s="46">
        <v>31298</v>
      </c>
      <c r="P673" s="6">
        <v>34.32</v>
      </c>
      <c r="Q673" s="33" t="s">
        <v>81</v>
      </c>
      <c r="R673" s="33" t="s">
        <v>29</v>
      </c>
      <c r="S673" s="33" t="s">
        <v>30</v>
      </c>
      <c r="T673" s="33" t="s">
        <v>31</v>
      </c>
      <c r="U673" s="39">
        <v>5</v>
      </c>
      <c r="V673" s="9"/>
    </row>
    <row r="674" spans="1:22" x14ac:dyDescent="0.35">
      <c r="A674" s="17" t="s">
        <v>767</v>
      </c>
      <c r="B674" s="8">
        <v>45219</v>
      </c>
      <c r="C674" s="22" t="s">
        <v>90</v>
      </c>
      <c r="D674" s="22" t="s">
        <v>34</v>
      </c>
      <c r="E674" s="22" t="s">
        <v>35</v>
      </c>
      <c r="F674" s="27">
        <v>2024</v>
      </c>
      <c r="G674" s="22" t="s">
        <v>43</v>
      </c>
      <c r="H674" s="22" t="s">
        <v>49</v>
      </c>
      <c r="I674" s="22" t="s">
        <v>50</v>
      </c>
      <c r="J674" s="45">
        <v>18000</v>
      </c>
      <c r="K674" s="1">
        <v>3</v>
      </c>
      <c r="L674" s="2">
        <v>0</v>
      </c>
      <c r="M674" s="45">
        <v>54000</v>
      </c>
      <c r="N674" s="45">
        <v>37625</v>
      </c>
      <c r="O674" s="45">
        <v>16375</v>
      </c>
      <c r="P674" s="3">
        <v>30.32</v>
      </c>
      <c r="Q674" s="32" t="s">
        <v>81</v>
      </c>
      <c r="R674" s="32" t="s">
        <v>45</v>
      </c>
      <c r="S674" s="32" t="s">
        <v>30</v>
      </c>
      <c r="T674" s="32" t="s">
        <v>41</v>
      </c>
      <c r="U674" s="38">
        <v>1</v>
      </c>
      <c r="V674" s="9"/>
    </row>
    <row r="675" spans="1:22" x14ac:dyDescent="0.35">
      <c r="A675" s="18" t="s">
        <v>768</v>
      </c>
      <c r="B675" s="7">
        <v>45198</v>
      </c>
      <c r="C675" s="23" t="s">
        <v>83</v>
      </c>
      <c r="D675" s="23" t="s">
        <v>74</v>
      </c>
      <c r="E675" s="23" t="s">
        <v>48</v>
      </c>
      <c r="F675" s="28">
        <v>2024</v>
      </c>
      <c r="G675" s="23" t="s">
        <v>36</v>
      </c>
      <c r="H675" s="23" t="s">
        <v>104</v>
      </c>
      <c r="I675" s="23" t="s">
        <v>50</v>
      </c>
      <c r="J675" s="46">
        <v>15000</v>
      </c>
      <c r="K675" s="4">
        <v>4</v>
      </c>
      <c r="L675" s="5">
        <v>20</v>
      </c>
      <c r="M675" s="46">
        <v>48000</v>
      </c>
      <c r="N675" s="46">
        <v>33463</v>
      </c>
      <c r="O675" s="46">
        <v>14537</v>
      </c>
      <c r="P675" s="6">
        <v>30.29</v>
      </c>
      <c r="Q675" s="33" t="s">
        <v>28</v>
      </c>
      <c r="R675" s="33" t="s">
        <v>76</v>
      </c>
      <c r="S675" s="33" t="s">
        <v>68</v>
      </c>
      <c r="T675" s="33" t="s">
        <v>41</v>
      </c>
      <c r="U675" s="39">
        <v>4</v>
      </c>
      <c r="V675" s="9"/>
    </row>
    <row r="676" spans="1:22" x14ac:dyDescent="0.35">
      <c r="A676" s="17" t="s">
        <v>769</v>
      </c>
      <c r="B676" s="8">
        <v>45428</v>
      </c>
      <c r="C676" s="22" t="s">
        <v>33</v>
      </c>
      <c r="D676" s="22" t="s">
        <v>23</v>
      </c>
      <c r="E676" s="22" t="s">
        <v>24</v>
      </c>
      <c r="F676" s="27">
        <v>2023</v>
      </c>
      <c r="G676" s="22" t="s">
        <v>61</v>
      </c>
      <c r="H676" s="22" t="s">
        <v>106</v>
      </c>
      <c r="I676" s="22" t="s">
        <v>38</v>
      </c>
      <c r="J676" s="45">
        <v>12000</v>
      </c>
      <c r="K676" s="1">
        <v>5</v>
      </c>
      <c r="L676" s="2">
        <v>5</v>
      </c>
      <c r="M676" s="45">
        <v>57000</v>
      </c>
      <c r="N676" s="45">
        <v>39113</v>
      </c>
      <c r="O676" s="45">
        <v>17887</v>
      </c>
      <c r="P676" s="3">
        <v>31.38</v>
      </c>
      <c r="Q676" s="32" t="s">
        <v>81</v>
      </c>
      <c r="R676" s="32" t="s">
        <v>29</v>
      </c>
      <c r="S676" s="32" t="s">
        <v>68</v>
      </c>
      <c r="T676" s="32" t="s">
        <v>31</v>
      </c>
      <c r="U676" s="38">
        <v>3</v>
      </c>
      <c r="V676" s="9"/>
    </row>
    <row r="677" spans="1:22" x14ac:dyDescent="0.35">
      <c r="A677" s="18" t="s">
        <v>770</v>
      </c>
      <c r="B677" s="7">
        <v>45093</v>
      </c>
      <c r="C677" s="23" t="s">
        <v>53</v>
      </c>
      <c r="D677" s="23" t="s">
        <v>87</v>
      </c>
      <c r="E677" s="23" t="s">
        <v>35</v>
      </c>
      <c r="F677" s="28">
        <v>2024</v>
      </c>
      <c r="G677" s="23" t="s">
        <v>43</v>
      </c>
      <c r="H677" s="23" t="s">
        <v>113</v>
      </c>
      <c r="I677" s="23" t="s">
        <v>38</v>
      </c>
      <c r="J677" s="46">
        <v>3500</v>
      </c>
      <c r="K677" s="4">
        <v>8</v>
      </c>
      <c r="L677" s="5">
        <v>5</v>
      </c>
      <c r="M677" s="46">
        <v>26600</v>
      </c>
      <c r="N677" s="46">
        <v>16784</v>
      </c>
      <c r="O677" s="46">
        <v>9816</v>
      </c>
      <c r="P677" s="6">
        <v>36.9</v>
      </c>
      <c r="Q677" s="33" t="s">
        <v>75</v>
      </c>
      <c r="R677" s="33" t="s">
        <v>29</v>
      </c>
      <c r="S677" s="33" t="s">
        <v>40</v>
      </c>
      <c r="T677" s="33" t="s">
        <v>41</v>
      </c>
      <c r="U677" s="39">
        <v>3</v>
      </c>
      <c r="V677" s="9"/>
    </row>
    <row r="678" spans="1:22" x14ac:dyDescent="0.35">
      <c r="A678" s="17" t="s">
        <v>771</v>
      </c>
      <c r="B678" s="8" t="s">
        <v>1095</v>
      </c>
      <c r="C678" s="22" t="s">
        <v>78</v>
      </c>
      <c r="D678" s="22" t="s">
        <v>79</v>
      </c>
      <c r="E678" s="22" t="s">
        <v>72</v>
      </c>
      <c r="F678" s="27">
        <v>2024</v>
      </c>
      <c r="G678" s="22" t="s">
        <v>36</v>
      </c>
      <c r="H678" s="22" t="s">
        <v>113</v>
      </c>
      <c r="I678" s="22" t="s">
        <v>38</v>
      </c>
      <c r="J678" s="45">
        <v>3500</v>
      </c>
      <c r="K678" s="1">
        <v>7</v>
      </c>
      <c r="L678" s="2">
        <v>0</v>
      </c>
      <c r="M678" s="45">
        <v>24500</v>
      </c>
      <c r="N678" s="45">
        <v>13643</v>
      </c>
      <c r="O678" s="45">
        <v>10857</v>
      </c>
      <c r="P678" s="3">
        <v>44.31</v>
      </c>
      <c r="Q678" s="32" t="s">
        <v>81</v>
      </c>
      <c r="R678" s="32" t="s">
        <v>67</v>
      </c>
      <c r="S678" s="32" t="s">
        <v>68</v>
      </c>
      <c r="T678" s="32" t="s">
        <v>41</v>
      </c>
      <c r="U678" s="38">
        <v>5</v>
      </c>
      <c r="V678" s="9"/>
    </row>
    <row r="679" spans="1:22" x14ac:dyDescent="0.35">
      <c r="A679" s="18" t="s">
        <v>772</v>
      </c>
      <c r="B679" s="7" t="s">
        <v>1096</v>
      </c>
      <c r="C679" s="23" t="s">
        <v>70</v>
      </c>
      <c r="D679" s="23" t="s">
        <v>23</v>
      </c>
      <c r="E679" s="23" t="s">
        <v>24</v>
      </c>
      <c r="F679" s="28">
        <v>2024</v>
      </c>
      <c r="G679" s="23" t="s">
        <v>36</v>
      </c>
      <c r="H679" s="23" t="s">
        <v>80</v>
      </c>
      <c r="I679" s="23" t="s">
        <v>55</v>
      </c>
      <c r="J679" s="46">
        <v>25000</v>
      </c>
      <c r="K679" s="4">
        <v>5</v>
      </c>
      <c r="L679" s="5">
        <v>5</v>
      </c>
      <c r="M679" s="46">
        <v>118750</v>
      </c>
      <c r="N679" s="46">
        <v>74142</v>
      </c>
      <c r="O679" s="46">
        <v>44608</v>
      </c>
      <c r="P679" s="6">
        <v>37.56</v>
      </c>
      <c r="Q679" s="33" t="s">
        <v>51</v>
      </c>
      <c r="R679" s="33" t="s">
        <v>45</v>
      </c>
      <c r="S679" s="33" t="s">
        <v>68</v>
      </c>
      <c r="T679" s="33" t="s">
        <v>41</v>
      </c>
      <c r="U679" s="39">
        <v>2</v>
      </c>
      <c r="V679" s="9"/>
    </row>
    <row r="680" spans="1:22" x14ac:dyDescent="0.35">
      <c r="A680" s="17" t="s">
        <v>773</v>
      </c>
      <c r="B680" s="8">
        <v>45613</v>
      </c>
      <c r="C680" s="22" t="s">
        <v>22</v>
      </c>
      <c r="D680" s="22" t="s">
        <v>87</v>
      </c>
      <c r="E680" s="22" t="s">
        <v>35</v>
      </c>
      <c r="F680" s="27">
        <v>2024</v>
      </c>
      <c r="G680" s="22" t="s">
        <v>25</v>
      </c>
      <c r="H680" s="22" t="s">
        <v>62</v>
      </c>
      <c r="I680" s="22" t="s">
        <v>63</v>
      </c>
      <c r="J680" s="45">
        <v>5000</v>
      </c>
      <c r="K680" s="1">
        <v>10</v>
      </c>
      <c r="L680" s="2">
        <v>0</v>
      </c>
      <c r="M680" s="45">
        <v>50000</v>
      </c>
      <c r="N680" s="45">
        <v>32183</v>
      </c>
      <c r="O680" s="45">
        <v>17817</v>
      </c>
      <c r="P680" s="3">
        <v>35.630000000000003</v>
      </c>
      <c r="Q680" s="32" t="s">
        <v>28</v>
      </c>
      <c r="R680" s="32" t="s">
        <v>29</v>
      </c>
      <c r="S680" s="32" t="s">
        <v>30</v>
      </c>
      <c r="T680" s="32" t="s">
        <v>41</v>
      </c>
      <c r="U680" s="38">
        <v>1</v>
      </c>
      <c r="V680" s="9"/>
    </row>
    <row r="681" spans="1:22" x14ac:dyDescent="0.35">
      <c r="A681" s="18" t="s">
        <v>774</v>
      </c>
      <c r="B681" s="7">
        <v>45286</v>
      </c>
      <c r="C681" s="23" t="s">
        <v>53</v>
      </c>
      <c r="D681" s="23" t="s">
        <v>34</v>
      </c>
      <c r="E681" s="23" t="s">
        <v>35</v>
      </c>
      <c r="F681" s="28">
        <v>2024</v>
      </c>
      <c r="G681" s="23" t="s">
        <v>25</v>
      </c>
      <c r="H681" s="23" t="s">
        <v>54</v>
      </c>
      <c r="I681" s="23" t="s">
        <v>55</v>
      </c>
      <c r="J681" s="46">
        <v>18000</v>
      </c>
      <c r="K681" s="4">
        <v>6</v>
      </c>
      <c r="L681" s="5">
        <v>0</v>
      </c>
      <c r="M681" s="46">
        <v>108000</v>
      </c>
      <c r="N681" s="46">
        <v>70151</v>
      </c>
      <c r="O681" s="46">
        <v>37849</v>
      </c>
      <c r="P681" s="6">
        <v>35.049999999999997</v>
      </c>
      <c r="Q681" s="33" t="s">
        <v>75</v>
      </c>
      <c r="R681" s="33" t="s">
        <v>76</v>
      </c>
      <c r="S681" s="33" t="s">
        <v>30</v>
      </c>
      <c r="T681" s="33" t="s">
        <v>31</v>
      </c>
      <c r="U681" s="39">
        <v>2</v>
      </c>
      <c r="V681" s="9"/>
    </row>
    <row r="682" spans="1:22" x14ac:dyDescent="0.35">
      <c r="A682" s="17" t="s">
        <v>775</v>
      </c>
      <c r="B682" s="8">
        <v>45584</v>
      </c>
      <c r="C682" s="22" t="s">
        <v>22</v>
      </c>
      <c r="D682" s="22" t="s">
        <v>74</v>
      </c>
      <c r="E682" s="22" t="s">
        <v>48</v>
      </c>
      <c r="F682" s="27">
        <v>2024</v>
      </c>
      <c r="G682" s="22" t="s">
        <v>61</v>
      </c>
      <c r="H682" s="22" t="s">
        <v>26</v>
      </c>
      <c r="I682" s="22" t="s">
        <v>27</v>
      </c>
      <c r="J682" s="45">
        <v>5000</v>
      </c>
      <c r="K682" s="1">
        <v>7</v>
      </c>
      <c r="L682" s="2">
        <v>15</v>
      </c>
      <c r="M682" s="45">
        <v>29750</v>
      </c>
      <c r="N682" s="45">
        <v>17868</v>
      </c>
      <c r="O682" s="45">
        <v>11882</v>
      </c>
      <c r="P682" s="3">
        <v>39.94</v>
      </c>
      <c r="Q682" s="32" t="s">
        <v>75</v>
      </c>
      <c r="R682" s="32" t="s">
        <v>67</v>
      </c>
      <c r="S682" s="32" t="s">
        <v>40</v>
      </c>
      <c r="T682" s="32" t="s">
        <v>41</v>
      </c>
      <c r="U682" s="38">
        <v>2</v>
      </c>
      <c r="V682" s="9"/>
    </row>
    <row r="683" spans="1:22" x14ac:dyDescent="0.35">
      <c r="A683" s="18" t="s">
        <v>776</v>
      </c>
      <c r="B683" s="7">
        <v>45538</v>
      </c>
      <c r="C683" s="23" t="s">
        <v>53</v>
      </c>
      <c r="D683" s="23" t="s">
        <v>108</v>
      </c>
      <c r="E683" s="23" t="s">
        <v>72</v>
      </c>
      <c r="F683" s="28">
        <v>2023</v>
      </c>
      <c r="G683" s="23" t="s">
        <v>43</v>
      </c>
      <c r="H683" s="23" t="s">
        <v>106</v>
      </c>
      <c r="I683" s="23" t="s">
        <v>38</v>
      </c>
      <c r="J683" s="46">
        <v>12000</v>
      </c>
      <c r="K683" s="4">
        <v>10</v>
      </c>
      <c r="L683" s="5">
        <v>0</v>
      </c>
      <c r="M683" s="46">
        <v>120000</v>
      </c>
      <c r="N683" s="46">
        <v>83781</v>
      </c>
      <c r="O683" s="46">
        <v>36219</v>
      </c>
      <c r="P683" s="6">
        <v>30.18</v>
      </c>
      <c r="Q683" s="33" t="s">
        <v>28</v>
      </c>
      <c r="R683" s="33" t="s">
        <v>67</v>
      </c>
      <c r="S683" s="33" t="s">
        <v>85</v>
      </c>
      <c r="T683" s="33" t="s">
        <v>31</v>
      </c>
      <c r="U683" s="39">
        <v>4</v>
      </c>
      <c r="V683" s="9"/>
    </row>
    <row r="684" spans="1:22" x14ac:dyDescent="0.35">
      <c r="A684" s="17" t="s">
        <v>777</v>
      </c>
      <c r="B684" s="8">
        <v>45653</v>
      </c>
      <c r="C684" s="22" t="s">
        <v>70</v>
      </c>
      <c r="D684" s="22" t="s">
        <v>34</v>
      </c>
      <c r="E684" s="22" t="s">
        <v>35</v>
      </c>
      <c r="F684" s="27">
        <v>2023</v>
      </c>
      <c r="G684" s="22" t="s">
        <v>61</v>
      </c>
      <c r="H684" s="22" t="s">
        <v>44</v>
      </c>
      <c r="I684" s="22" t="s">
        <v>27</v>
      </c>
      <c r="J684" s="45">
        <v>6000</v>
      </c>
      <c r="K684" s="1">
        <v>8</v>
      </c>
      <c r="L684" s="2">
        <v>5</v>
      </c>
      <c r="M684" s="45">
        <v>45600</v>
      </c>
      <c r="N684" s="45">
        <v>30443</v>
      </c>
      <c r="O684" s="45">
        <v>15157</v>
      </c>
      <c r="P684" s="3">
        <v>33.24</v>
      </c>
      <c r="Q684" s="32" t="s">
        <v>75</v>
      </c>
      <c r="R684" s="32" t="s">
        <v>67</v>
      </c>
      <c r="S684" s="32" t="s">
        <v>57</v>
      </c>
      <c r="T684" s="32" t="s">
        <v>41</v>
      </c>
      <c r="U684" s="38">
        <v>3</v>
      </c>
      <c r="V684" s="9"/>
    </row>
    <row r="685" spans="1:22" x14ac:dyDescent="0.35">
      <c r="A685" s="18" t="s">
        <v>778</v>
      </c>
      <c r="B685" s="7">
        <v>45249</v>
      </c>
      <c r="C685" s="23" t="s">
        <v>78</v>
      </c>
      <c r="D685" s="23" t="s">
        <v>65</v>
      </c>
      <c r="E685" s="23" t="s">
        <v>48</v>
      </c>
      <c r="F685" s="28">
        <v>2023</v>
      </c>
      <c r="G685" s="23" t="s">
        <v>36</v>
      </c>
      <c r="H685" s="23" t="s">
        <v>37</v>
      </c>
      <c r="I685" s="23" t="s">
        <v>38</v>
      </c>
      <c r="J685" s="46">
        <v>10000</v>
      </c>
      <c r="K685" s="4">
        <v>1</v>
      </c>
      <c r="L685" s="5">
        <v>0</v>
      </c>
      <c r="M685" s="46">
        <v>10000</v>
      </c>
      <c r="N685" s="46">
        <v>5690</v>
      </c>
      <c r="O685" s="46">
        <v>4310</v>
      </c>
      <c r="P685" s="6">
        <v>43.1</v>
      </c>
      <c r="Q685" s="33" t="s">
        <v>28</v>
      </c>
      <c r="R685" s="33" t="s">
        <v>56</v>
      </c>
      <c r="S685" s="33" t="s">
        <v>30</v>
      </c>
      <c r="T685" s="33" t="s">
        <v>41</v>
      </c>
      <c r="U685" s="39">
        <v>2</v>
      </c>
      <c r="V685" s="9"/>
    </row>
    <row r="686" spans="1:22" x14ac:dyDescent="0.35">
      <c r="A686" s="17" t="s">
        <v>779</v>
      </c>
      <c r="B686" s="8">
        <v>45608</v>
      </c>
      <c r="C686" s="22" t="s">
        <v>70</v>
      </c>
      <c r="D686" s="22" t="s">
        <v>23</v>
      </c>
      <c r="E686" s="22" t="s">
        <v>24</v>
      </c>
      <c r="F686" s="27">
        <v>2024</v>
      </c>
      <c r="G686" s="22" t="s">
        <v>25</v>
      </c>
      <c r="H686" s="22" t="s">
        <v>113</v>
      </c>
      <c r="I686" s="22" t="s">
        <v>38</v>
      </c>
      <c r="J686" s="45">
        <v>3500</v>
      </c>
      <c r="K686" s="1">
        <v>9</v>
      </c>
      <c r="L686" s="2">
        <v>0</v>
      </c>
      <c r="M686" s="45">
        <v>31500</v>
      </c>
      <c r="N686" s="45">
        <v>17786</v>
      </c>
      <c r="O686" s="45">
        <v>13714</v>
      </c>
      <c r="P686" s="3">
        <v>43.54</v>
      </c>
      <c r="Q686" s="32" t="s">
        <v>51</v>
      </c>
      <c r="R686" s="32" t="s">
        <v>56</v>
      </c>
      <c r="S686" s="32" t="s">
        <v>40</v>
      </c>
      <c r="T686" s="32" t="s">
        <v>31</v>
      </c>
      <c r="U686" s="38">
        <v>1</v>
      </c>
      <c r="V686" s="9"/>
    </row>
    <row r="687" spans="1:22" x14ac:dyDescent="0.35">
      <c r="A687" s="18" t="s">
        <v>780</v>
      </c>
      <c r="B687" s="7">
        <v>45521</v>
      </c>
      <c r="C687" s="23" t="s">
        <v>83</v>
      </c>
      <c r="D687" s="23" t="s">
        <v>87</v>
      </c>
      <c r="E687" s="23" t="s">
        <v>35</v>
      </c>
      <c r="F687" s="28">
        <v>2023</v>
      </c>
      <c r="G687" s="23" t="s">
        <v>36</v>
      </c>
      <c r="H687" s="23" t="s">
        <v>113</v>
      </c>
      <c r="I687" s="23" t="s">
        <v>38</v>
      </c>
      <c r="J687" s="46">
        <v>3500</v>
      </c>
      <c r="K687" s="4">
        <v>8</v>
      </c>
      <c r="L687" s="5">
        <v>5</v>
      </c>
      <c r="M687" s="46">
        <v>26600</v>
      </c>
      <c r="N687" s="46">
        <v>14719</v>
      </c>
      <c r="O687" s="46">
        <v>11881</v>
      </c>
      <c r="P687" s="6">
        <v>44.67</v>
      </c>
      <c r="Q687" s="33" t="s">
        <v>51</v>
      </c>
      <c r="R687" s="33" t="s">
        <v>29</v>
      </c>
      <c r="S687" s="33" t="s">
        <v>68</v>
      </c>
      <c r="T687" s="33" t="s">
        <v>41</v>
      </c>
      <c r="U687" s="39">
        <v>5</v>
      </c>
      <c r="V687" s="9"/>
    </row>
    <row r="688" spans="1:22" x14ac:dyDescent="0.35">
      <c r="A688" s="17" t="s">
        <v>781</v>
      </c>
      <c r="B688" s="8">
        <v>45455</v>
      </c>
      <c r="C688" s="22" t="s">
        <v>83</v>
      </c>
      <c r="D688" s="22" t="s">
        <v>74</v>
      </c>
      <c r="E688" s="22" t="s">
        <v>48</v>
      </c>
      <c r="F688" s="27">
        <v>2024</v>
      </c>
      <c r="G688" s="22" t="s">
        <v>61</v>
      </c>
      <c r="H688" s="22" t="s">
        <v>84</v>
      </c>
      <c r="I688" s="22" t="s">
        <v>27</v>
      </c>
      <c r="J688" s="45">
        <v>8000</v>
      </c>
      <c r="K688" s="1">
        <v>1</v>
      </c>
      <c r="L688" s="2">
        <v>0</v>
      </c>
      <c r="M688" s="45">
        <v>8000</v>
      </c>
      <c r="N688" s="45">
        <v>5257</v>
      </c>
      <c r="O688" s="45">
        <v>2743</v>
      </c>
      <c r="P688" s="3">
        <v>34.29</v>
      </c>
      <c r="Q688" s="32" t="s">
        <v>51</v>
      </c>
      <c r="R688" s="32" t="s">
        <v>67</v>
      </c>
      <c r="S688" s="32" t="s">
        <v>40</v>
      </c>
      <c r="T688" s="32" t="s">
        <v>31</v>
      </c>
      <c r="U688" s="38">
        <v>4</v>
      </c>
      <c r="V688" s="9"/>
    </row>
    <row r="689" spans="1:22" x14ac:dyDescent="0.35">
      <c r="A689" s="18" t="s">
        <v>782</v>
      </c>
      <c r="B689" s="7">
        <v>44975</v>
      </c>
      <c r="C689" s="23" t="s">
        <v>22</v>
      </c>
      <c r="D689" s="23" t="s">
        <v>74</v>
      </c>
      <c r="E689" s="23" t="s">
        <v>48</v>
      </c>
      <c r="F689" s="28">
        <v>2024</v>
      </c>
      <c r="G689" s="23" t="s">
        <v>43</v>
      </c>
      <c r="H689" s="23" t="s">
        <v>119</v>
      </c>
      <c r="I689" s="23" t="s">
        <v>63</v>
      </c>
      <c r="J689" s="46">
        <v>16000</v>
      </c>
      <c r="K689" s="4">
        <v>10</v>
      </c>
      <c r="L689" s="5">
        <v>15</v>
      </c>
      <c r="M689" s="46">
        <v>136000</v>
      </c>
      <c r="N689" s="46">
        <v>88938</v>
      </c>
      <c r="O689" s="46">
        <v>47062</v>
      </c>
      <c r="P689" s="6">
        <v>34.6</v>
      </c>
      <c r="Q689" s="33" t="s">
        <v>51</v>
      </c>
      <c r="R689" s="33" t="s">
        <v>56</v>
      </c>
      <c r="S689" s="33" t="s">
        <v>30</v>
      </c>
      <c r="T689" s="33" t="s">
        <v>41</v>
      </c>
      <c r="U689" s="39">
        <v>5</v>
      </c>
      <c r="V689" s="9"/>
    </row>
    <row r="690" spans="1:22" x14ac:dyDescent="0.35">
      <c r="A690" s="17" t="s">
        <v>783</v>
      </c>
      <c r="B690" s="8">
        <v>45337</v>
      </c>
      <c r="C690" s="22" t="s">
        <v>90</v>
      </c>
      <c r="D690" s="22" t="s">
        <v>110</v>
      </c>
      <c r="E690" s="22" t="s">
        <v>24</v>
      </c>
      <c r="F690" s="27">
        <v>2023</v>
      </c>
      <c r="G690" s="22" t="s">
        <v>61</v>
      </c>
      <c r="H690" s="22" t="s">
        <v>80</v>
      </c>
      <c r="I690" s="22" t="s">
        <v>55</v>
      </c>
      <c r="J690" s="45">
        <v>25000</v>
      </c>
      <c r="K690" s="1">
        <v>5</v>
      </c>
      <c r="L690" s="2">
        <v>15</v>
      </c>
      <c r="M690" s="45">
        <v>106250</v>
      </c>
      <c r="N690" s="45">
        <v>65972</v>
      </c>
      <c r="O690" s="45">
        <v>40278</v>
      </c>
      <c r="P690" s="3">
        <v>37.909999999999997</v>
      </c>
      <c r="Q690" s="32" t="s">
        <v>51</v>
      </c>
      <c r="R690" s="32" t="s">
        <v>76</v>
      </c>
      <c r="S690" s="32" t="s">
        <v>40</v>
      </c>
      <c r="T690" s="32" t="s">
        <v>41</v>
      </c>
      <c r="U690" s="38">
        <v>4</v>
      </c>
      <c r="V690" s="9"/>
    </row>
    <row r="691" spans="1:22" x14ac:dyDescent="0.35">
      <c r="A691" s="18" t="s">
        <v>784</v>
      </c>
      <c r="B691" s="7">
        <v>45498</v>
      </c>
      <c r="C691" s="23" t="s">
        <v>70</v>
      </c>
      <c r="D691" s="23" t="s">
        <v>47</v>
      </c>
      <c r="E691" s="23" t="s">
        <v>48</v>
      </c>
      <c r="F691" s="28">
        <v>2023</v>
      </c>
      <c r="G691" s="23" t="s">
        <v>61</v>
      </c>
      <c r="H691" s="23" t="s">
        <v>123</v>
      </c>
      <c r="I691" s="23" t="s">
        <v>38</v>
      </c>
      <c r="J691" s="46">
        <v>14000</v>
      </c>
      <c r="K691" s="4">
        <v>4</v>
      </c>
      <c r="L691" s="5">
        <v>5</v>
      </c>
      <c r="M691" s="46">
        <v>53200</v>
      </c>
      <c r="N691" s="46">
        <v>32370</v>
      </c>
      <c r="O691" s="46">
        <v>20830</v>
      </c>
      <c r="P691" s="6">
        <v>39.15</v>
      </c>
      <c r="Q691" s="33" t="s">
        <v>39</v>
      </c>
      <c r="R691" s="33" t="s">
        <v>29</v>
      </c>
      <c r="S691" s="33" t="s">
        <v>68</v>
      </c>
      <c r="T691" s="33" t="s">
        <v>41</v>
      </c>
      <c r="U691" s="39">
        <v>2</v>
      </c>
      <c r="V691" s="9"/>
    </row>
    <row r="692" spans="1:22" x14ac:dyDescent="0.35">
      <c r="A692" s="17" t="s">
        <v>785</v>
      </c>
      <c r="B692" s="8">
        <v>45421</v>
      </c>
      <c r="C692" s="22" t="s">
        <v>53</v>
      </c>
      <c r="D692" s="22" t="s">
        <v>23</v>
      </c>
      <c r="E692" s="22" t="s">
        <v>24</v>
      </c>
      <c r="F692" s="27">
        <v>2023</v>
      </c>
      <c r="G692" s="22" t="s">
        <v>61</v>
      </c>
      <c r="H692" s="22" t="s">
        <v>98</v>
      </c>
      <c r="I692" s="22" t="s">
        <v>63</v>
      </c>
      <c r="J692" s="45">
        <v>28000</v>
      </c>
      <c r="K692" s="1">
        <v>6</v>
      </c>
      <c r="L692" s="2">
        <v>20</v>
      </c>
      <c r="M692" s="45">
        <v>134400</v>
      </c>
      <c r="N692" s="45">
        <v>84712</v>
      </c>
      <c r="O692" s="45">
        <v>49688</v>
      </c>
      <c r="P692" s="3">
        <v>36.97</v>
      </c>
      <c r="Q692" s="32" t="s">
        <v>39</v>
      </c>
      <c r="R692" s="32" t="s">
        <v>29</v>
      </c>
      <c r="S692" s="32" t="s">
        <v>68</v>
      </c>
      <c r="T692" s="32" t="s">
        <v>31</v>
      </c>
      <c r="U692" s="38">
        <v>4</v>
      </c>
      <c r="V692" s="9"/>
    </row>
    <row r="693" spans="1:22" x14ac:dyDescent="0.35">
      <c r="A693" s="18" t="s">
        <v>786</v>
      </c>
      <c r="B693" s="7">
        <v>45441</v>
      </c>
      <c r="C693" s="23" t="s">
        <v>53</v>
      </c>
      <c r="D693" s="23" t="s">
        <v>116</v>
      </c>
      <c r="E693" s="23" t="s">
        <v>35</v>
      </c>
      <c r="F693" s="28">
        <v>2023</v>
      </c>
      <c r="G693" s="23" t="s">
        <v>36</v>
      </c>
      <c r="H693" s="23" t="s">
        <v>37</v>
      </c>
      <c r="I693" s="23" t="s">
        <v>38</v>
      </c>
      <c r="J693" s="46">
        <v>10000</v>
      </c>
      <c r="K693" s="4">
        <v>3</v>
      </c>
      <c r="L693" s="5">
        <v>10</v>
      </c>
      <c r="M693" s="46">
        <v>27000</v>
      </c>
      <c r="N693" s="46">
        <v>17109</v>
      </c>
      <c r="O693" s="46">
        <v>9891</v>
      </c>
      <c r="P693" s="6">
        <v>36.630000000000003</v>
      </c>
      <c r="Q693" s="33" t="s">
        <v>51</v>
      </c>
      <c r="R693" s="33" t="s">
        <v>67</v>
      </c>
      <c r="S693" s="33" t="s">
        <v>57</v>
      </c>
      <c r="T693" s="33" t="s">
        <v>31</v>
      </c>
      <c r="U693" s="39">
        <v>5</v>
      </c>
      <c r="V693" s="9"/>
    </row>
    <row r="694" spans="1:22" x14ac:dyDescent="0.35">
      <c r="A694" s="17" t="s">
        <v>787</v>
      </c>
      <c r="B694" s="8">
        <v>45082</v>
      </c>
      <c r="C694" s="22" t="s">
        <v>53</v>
      </c>
      <c r="D694" s="22" t="s">
        <v>74</v>
      </c>
      <c r="E694" s="22" t="s">
        <v>48</v>
      </c>
      <c r="F694" s="27">
        <v>2023</v>
      </c>
      <c r="G694" s="22" t="s">
        <v>43</v>
      </c>
      <c r="H694" s="22" t="s">
        <v>84</v>
      </c>
      <c r="I694" s="22" t="s">
        <v>27</v>
      </c>
      <c r="J694" s="45">
        <v>8000</v>
      </c>
      <c r="K694" s="1">
        <v>5</v>
      </c>
      <c r="L694" s="2">
        <v>0</v>
      </c>
      <c r="M694" s="45">
        <v>40000</v>
      </c>
      <c r="N694" s="45">
        <v>26603</v>
      </c>
      <c r="O694" s="45">
        <v>13397</v>
      </c>
      <c r="P694" s="3">
        <v>33.49</v>
      </c>
      <c r="Q694" s="32" t="s">
        <v>39</v>
      </c>
      <c r="R694" s="32" t="s">
        <v>29</v>
      </c>
      <c r="S694" s="32" t="s">
        <v>30</v>
      </c>
      <c r="T694" s="32" t="s">
        <v>41</v>
      </c>
      <c r="U694" s="38">
        <v>4</v>
      </c>
      <c r="V694" s="9"/>
    </row>
    <row r="695" spans="1:22" x14ac:dyDescent="0.35">
      <c r="A695" s="18" t="s">
        <v>788</v>
      </c>
      <c r="B695" s="7" t="s">
        <v>1097</v>
      </c>
      <c r="C695" s="23" t="s">
        <v>33</v>
      </c>
      <c r="D695" s="23" t="s">
        <v>34</v>
      </c>
      <c r="E695" s="23" t="s">
        <v>35</v>
      </c>
      <c r="F695" s="28">
        <v>2023</v>
      </c>
      <c r="G695" s="23" t="s">
        <v>43</v>
      </c>
      <c r="H695" s="23" t="s">
        <v>186</v>
      </c>
      <c r="I695" s="23" t="s">
        <v>55</v>
      </c>
      <c r="J695" s="46">
        <v>20000</v>
      </c>
      <c r="K695" s="4">
        <v>2</v>
      </c>
      <c r="L695" s="5">
        <v>10</v>
      </c>
      <c r="M695" s="46">
        <v>36000</v>
      </c>
      <c r="N695" s="46">
        <v>21171</v>
      </c>
      <c r="O695" s="46">
        <v>14829</v>
      </c>
      <c r="P695" s="6">
        <v>41.19</v>
      </c>
      <c r="Q695" s="33" t="s">
        <v>81</v>
      </c>
      <c r="R695" s="33" t="s">
        <v>45</v>
      </c>
      <c r="S695" s="33" t="s">
        <v>57</v>
      </c>
      <c r="T695" s="33" t="s">
        <v>41</v>
      </c>
      <c r="U695" s="39">
        <v>2</v>
      </c>
      <c r="V695" s="9"/>
    </row>
    <row r="696" spans="1:22" x14ac:dyDescent="0.35">
      <c r="A696" s="17" t="s">
        <v>789</v>
      </c>
      <c r="B696" s="8">
        <v>45327</v>
      </c>
      <c r="C696" s="22" t="s">
        <v>53</v>
      </c>
      <c r="D696" s="22" t="s">
        <v>97</v>
      </c>
      <c r="E696" s="22" t="s">
        <v>24</v>
      </c>
      <c r="F696" s="27">
        <v>2024</v>
      </c>
      <c r="G696" s="22" t="s">
        <v>43</v>
      </c>
      <c r="H696" s="22" t="s">
        <v>88</v>
      </c>
      <c r="I696" s="22" t="s">
        <v>55</v>
      </c>
      <c r="J696" s="45">
        <v>8000</v>
      </c>
      <c r="K696" s="1">
        <v>2</v>
      </c>
      <c r="L696" s="2">
        <v>15</v>
      </c>
      <c r="M696" s="45">
        <v>13600</v>
      </c>
      <c r="N696" s="45">
        <v>7597</v>
      </c>
      <c r="O696" s="45">
        <v>6003</v>
      </c>
      <c r="P696" s="3">
        <v>44.14</v>
      </c>
      <c r="Q696" s="32" t="s">
        <v>51</v>
      </c>
      <c r="R696" s="32" t="s">
        <v>67</v>
      </c>
      <c r="S696" s="32" t="s">
        <v>30</v>
      </c>
      <c r="T696" s="32" t="s">
        <v>31</v>
      </c>
      <c r="U696" s="38">
        <v>5</v>
      </c>
      <c r="V696" s="9"/>
    </row>
    <row r="697" spans="1:22" x14ac:dyDescent="0.35">
      <c r="A697" s="18" t="s">
        <v>790</v>
      </c>
      <c r="B697" s="7">
        <v>44957</v>
      </c>
      <c r="C697" s="23" t="s">
        <v>70</v>
      </c>
      <c r="D697" s="23" t="s">
        <v>74</v>
      </c>
      <c r="E697" s="23" t="s">
        <v>48</v>
      </c>
      <c r="F697" s="28">
        <v>2023</v>
      </c>
      <c r="G697" s="23" t="s">
        <v>61</v>
      </c>
      <c r="H697" s="23" t="s">
        <v>80</v>
      </c>
      <c r="I697" s="23" t="s">
        <v>55</v>
      </c>
      <c r="J697" s="46">
        <v>25000</v>
      </c>
      <c r="K697" s="4">
        <v>3</v>
      </c>
      <c r="L697" s="5">
        <v>15</v>
      </c>
      <c r="M697" s="46">
        <v>63750</v>
      </c>
      <c r="N697" s="46">
        <v>36342</v>
      </c>
      <c r="O697" s="46">
        <v>27408</v>
      </c>
      <c r="P697" s="6">
        <v>42.99</v>
      </c>
      <c r="Q697" s="33" t="s">
        <v>39</v>
      </c>
      <c r="R697" s="33" t="s">
        <v>45</v>
      </c>
      <c r="S697" s="33" t="s">
        <v>68</v>
      </c>
      <c r="T697" s="33" t="s">
        <v>41</v>
      </c>
      <c r="U697" s="39">
        <v>5</v>
      </c>
      <c r="V697" s="9"/>
    </row>
    <row r="698" spans="1:22" x14ac:dyDescent="0.35">
      <c r="A698" s="17" t="s">
        <v>791</v>
      </c>
      <c r="B698" s="8" t="s">
        <v>1098</v>
      </c>
      <c r="C698" s="22" t="s">
        <v>53</v>
      </c>
      <c r="D698" s="22" t="s">
        <v>116</v>
      </c>
      <c r="E698" s="22" t="s">
        <v>35</v>
      </c>
      <c r="F698" s="27">
        <v>2024</v>
      </c>
      <c r="G698" s="22" t="s">
        <v>25</v>
      </c>
      <c r="H698" s="22" t="s">
        <v>44</v>
      </c>
      <c r="I698" s="22" t="s">
        <v>27</v>
      </c>
      <c r="J698" s="45">
        <v>6000</v>
      </c>
      <c r="K698" s="1">
        <v>6</v>
      </c>
      <c r="L698" s="2">
        <v>0</v>
      </c>
      <c r="M698" s="45">
        <v>36000</v>
      </c>
      <c r="N698" s="45">
        <v>24813</v>
      </c>
      <c r="O698" s="45">
        <v>11187</v>
      </c>
      <c r="P698" s="3">
        <v>31.08</v>
      </c>
      <c r="Q698" s="32" t="s">
        <v>28</v>
      </c>
      <c r="R698" s="32" t="s">
        <v>56</v>
      </c>
      <c r="S698" s="32" t="s">
        <v>40</v>
      </c>
      <c r="T698" s="32" t="s">
        <v>31</v>
      </c>
      <c r="U698" s="38">
        <v>2</v>
      </c>
      <c r="V698" s="9"/>
    </row>
    <row r="699" spans="1:22" x14ac:dyDescent="0.35">
      <c r="A699" s="18" t="s">
        <v>792</v>
      </c>
      <c r="B699" s="7">
        <v>45393</v>
      </c>
      <c r="C699" s="23" t="s">
        <v>83</v>
      </c>
      <c r="D699" s="23" t="s">
        <v>34</v>
      </c>
      <c r="E699" s="23" t="s">
        <v>35</v>
      </c>
      <c r="F699" s="28">
        <v>2024</v>
      </c>
      <c r="G699" s="23" t="s">
        <v>36</v>
      </c>
      <c r="H699" s="23" t="s">
        <v>145</v>
      </c>
      <c r="I699" s="23" t="s">
        <v>50</v>
      </c>
      <c r="J699" s="46">
        <v>12000</v>
      </c>
      <c r="K699" s="4">
        <v>9</v>
      </c>
      <c r="L699" s="5">
        <v>0</v>
      </c>
      <c r="M699" s="46">
        <v>108000</v>
      </c>
      <c r="N699" s="46">
        <v>60965</v>
      </c>
      <c r="O699" s="46">
        <v>47035</v>
      </c>
      <c r="P699" s="6">
        <v>43.55</v>
      </c>
      <c r="Q699" s="33" t="s">
        <v>81</v>
      </c>
      <c r="R699" s="33" t="s">
        <v>67</v>
      </c>
      <c r="S699" s="33" t="s">
        <v>57</v>
      </c>
      <c r="T699" s="33" t="s">
        <v>31</v>
      </c>
      <c r="U699" s="39">
        <v>5</v>
      </c>
      <c r="V699" s="9"/>
    </row>
    <row r="700" spans="1:22" x14ac:dyDescent="0.35">
      <c r="A700" s="17" t="s">
        <v>793</v>
      </c>
      <c r="B700" s="8">
        <v>44981</v>
      </c>
      <c r="C700" s="22" t="s">
        <v>33</v>
      </c>
      <c r="D700" s="22" t="s">
        <v>65</v>
      </c>
      <c r="E700" s="22" t="s">
        <v>48</v>
      </c>
      <c r="F700" s="27">
        <v>2024</v>
      </c>
      <c r="G700" s="22" t="s">
        <v>43</v>
      </c>
      <c r="H700" s="22" t="s">
        <v>37</v>
      </c>
      <c r="I700" s="22" t="s">
        <v>38</v>
      </c>
      <c r="J700" s="45">
        <v>10000</v>
      </c>
      <c r="K700" s="1">
        <v>7</v>
      </c>
      <c r="L700" s="2">
        <v>5</v>
      </c>
      <c r="M700" s="45">
        <v>66500</v>
      </c>
      <c r="N700" s="45">
        <v>46953</v>
      </c>
      <c r="O700" s="45">
        <v>19547</v>
      </c>
      <c r="P700" s="3">
        <v>29.39</v>
      </c>
      <c r="Q700" s="32" t="s">
        <v>51</v>
      </c>
      <c r="R700" s="32" t="s">
        <v>29</v>
      </c>
      <c r="S700" s="32" t="s">
        <v>57</v>
      </c>
      <c r="T700" s="32" t="s">
        <v>41</v>
      </c>
      <c r="U700" s="38">
        <v>2</v>
      </c>
      <c r="V700" s="9"/>
    </row>
    <row r="701" spans="1:22" x14ac:dyDescent="0.35">
      <c r="A701" s="18" t="s">
        <v>794</v>
      </c>
      <c r="B701" s="7">
        <v>45084</v>
      </c>
      <c r="C701" s="23" t="s">
        <v>22</v>
      </c>
      <c r="D701" s="23" t="s">
        <v>47</v>
      </c>
      <c r="E701" s="23" t="s">
        <v>48</v>
      </c>
      <c r="F701" s="28">
        <v>2023</v>
      </c>
      <c r="G701" s="23" t="s">
        <v>25</v>
      </c>
      <c r="H701" s="23" t="s">
        <v>80</v>
      </c>
      <c r="I701" s="23" t="s">
        <v>55</v>
      </c>
      <c r="J701" s="46">
        <v>25000</v>
      </c>
      <c r="K701" s="4">
        <v>2</v>
      </c>
      <c r="L701" s="5">
        <v>0</v>
      </c>
      <c r="M701" s="46">
        <v>50000</v>
      </c>
      <c r="N701" s="46">
        <v>30176</v>
      </c>
      <c r="O701" s="46">
        <v>19824</v>
      </c>
      <c r="P701" s="6">
        <v>39.65</v>
      </c>
      <c r="Q701" s="33" t="s">
        <v>39</v>
      </c>
      <c r="R701" s="33" t="s">
        <v>67</v>
      </c>
      <c r="S701" s="33" t="s">
        <v>30</v>
      </c>
      <c r="T701" s="33" t="s">
        <v>31</v>
      </c>
      <c r="U701" s="39">
        <v>2</v>
      </c>
      <c r="V701" s="9"/>
    </row>
    <row r="702" spans="1:22" x14ac:dyDescent="0.35">
      <c r="A702" s="17" t="s">
        <v>795</v>
      </c>
      <c r="B702" s="8">
        <v>45549</v>
      </c>
      <c r="C702" s="22" t="s">
        <v>70</v>
      </c>
      <c r="D702" s="22" t="s">
        <v>108</v>
      </c>
      <c r="E702" s="22" t="s">
        <v>72</v>
      </c>
      <c r="F702" s="27">
        <v>2024</v>
      </c>
      <c r="G702" s="22" t="s">
        <v>61</v>
      </c>
      <c r="H702" s="22" t="s">
        <v>101</v>
      </c>
      <c r="I702" s="22" t="s">
        <v>27</v>
      </c>
      <c r="J702" s="45">
        <v>9000</v>
      </c>
      <c r="K702" s="1">
        <v>5</v>
      </c>
      <c r="L702" s="2">
        <v>5</v>
      </c>
      <c r="M702" s="45">
        <v>42750</v>
      </c>
      <c r="N702" s="45">
        <v>26434</v>
      </c>
      <c r="O702" s="45">
        <v>16316</v>
      </c>
      <c r="P702" s="3">
        <v>38.17</v>
      </c>
      <c r="Q702" s="32" t="s">
        <v>75</v>
      </c>
      <c r="R702" s="32" t="s">
        <v>45</v>
      </c>
      <c r="S702" s="32" t="s">
        <v>57</v>
      </c>
      <c r="T702" s="32" t="s">
        <v>31</v>
      </c>
      <c r="U702" s="38">
        <v>3</v>
      </c>
      <c r="V702" s="9"/>
    </row>
    <row r="703" spans="1:22" x14ac:dyDescent="0.35">
      <c r="A703" s="18" t="s">
        <v>796</v>
      </c>
      <c r="B703" s="7">
        <v>45534</v>
      </c>
      <c r="C703" s="23" t="s">
        <v>90</v>
      </c>
      <c r="D703" s="23" t="s">
        <v>87</v>
      </c>
      <c r="E703" s="23" t="s">
        <v>35</v>
      </c>
      <c r="F703" s="28">
        <v>2024</v>
      </c>
      <c r="G703" s="23" t="s">
        <v>25</v>
      </c>
      <c r="H703" s="23" t="s">
        <v>186</v>
      </c>
      <c r="I703" s="23" t="s">
        <v>55</v>
      </c>
      <c r="J703" s="46">
        <v>20000</v>
      </c>
      <c r="K703" s="4">
        <v>7</v>
      </c>
      <c r="L703" s="5">
        <v>5</v>
      </c>
      <c r="M703" s="46">
        <v>133000</v>
      </c>
      <c r="N703" s="46">
        <v>87708</v>
      </c>
      <c r="O703" s="46">
        <v>45292</v>
      </c>
      <c r="P703" s="6">
        <v>34.049999999999997</v>
      </c>
      <c r="Q703" s="33" t="s">
        <v>75</v>
      </c>
      <c r="R703" s="33" t="s">
        <v>29</v>
      </c>
      <c r="S703" s="33" t="s">
        <v>85</v>
      </c>
      <c r="T703" s="33" t="s">
        <v>41</v>
      </c>
      <c r="U703" s="39">
        <v>4</v>
      </c>
      <c r="V703" s="9"/>
    </row>
    <row r="704" spans="1:22" x14ac:dyDescent="0.35">
      <c r="A704" s="17" t="s">
        <v>797</v>
      </c>
      <c r="B704" s="8">
        <v>44998</v>
      </c>
      <c r="C704" s="22" t="s">
        <v>53</v>
      </c>
      <c r="D704" s="22" t="s">
        <v>71</v>
      </c>
      <c r="E704" s="22" t="s">
        <v>72</v>
      </c>
      <c r="F704" s="27">
        <v>2023</v>
      </c>
      <c r="G704" s="22" t="s">
        <v>61</v>
      </c>
      <c r="H704" s="22" t="s">
        <v>117</v>
      </c>
      <c r="I704" s="22" t="s">
        <v>50</v>
      </c>
      <c r="J704" s="45">
        <v>8000</v>
      </c>
      <c r="K704" s="1">
        <v>1</v>
      </c>
      <c r="L704" s="2">
        <v>10</v>
      </c>
      <c r="M704" s="45">
        <v>7200</v>
      </c>
      <c r="N704" s="45">
        <v>4369</v>
      </c>
      <c r="O704" s="45">
        <v>2831</v>
      </c>
      <c r="P704" s="3">
        <v>39.32</v>
      </c>
      <c r="Q704" s="32" t="s">
        <v>39</v>
      </c>
      <c r="R704" s="32" t="s">
        <v>29</v>
      </c>
      <c r="S704" s="32" t="s">
        <v>85</v>
      </c>
      <c r="T704" s="32" t="s">
        <v>31</v>
      </c>
      <c r="U704" s="38">
        <v>1</v>
      </c>
      <c r="V704" s="9"/>
    </row>
    <row r="705" spans="1:22" x14ac:dyDescent="0.35">
      <c r="A705" s="18" t="s">
        <v>798</v>
      </c>
      <c r="B705" s="7">
        <v>45373</v>
      </c>
      <c r="C705" s="23" t="s">
        <v>78</v>
      </c>
      <c r="D705" s="23" t="s">
        <v>87</v>
      </c>
      <c r="E705" s="23" t="s">
        <v>35</v>
      </c>
      <c r="F705" s="28">
        <v>2024</v>
      </c>
      <c r="G705" s="23" t="s">
        <v>61</v>
      </c>
      <c r="H705" s="23" t="s">
        <v>54</v>
      </c>
      <c r="I705" s="23" t="s">
        <v>55</v>
      </c>
      <c r="J705" s="46">
        <v>18000</v>
      </c>
      <c r="K705" s="4">
        <v>9</v>
      </c>
      <c r="L705" s="5">
        <v>0</v>
      </c>
      <c r="M705" s="46">
        <v>162000</v>
      </c>
      <c r="N705" s="46">
        <v>109949</v>
      </c>
      <c r="O705" s="46">
        <v>52051</v>
      </c>
      <c r="P705" s="6">
        <v>32.130000000000003</v>
      </c>
      <c r="Q705" s="33" t="s">
        <v>39</v>
      </c>
      <c r="R705" s="33" t="s">
        <v>76</v>
      </c>
      <c r="S705" s="33" t="s">
        <v>30</v>
      </c>
      <c r="T705" s="33" t="s">
        <v>31</v>
      </c>
      <c r="U705" s="39">
        <v>3</v>
      </c>
      <c r="V705" s="9"/>
    </row>
    <row r="706" spans="1:22" x14ac:dyDescent="0.35">
      <c r="A706" s="17" t="s">
        <v>799</v>
      </c>
      <c r="B706" s="8">
        <v>45179</v>
      </c>
      <c r="C706" s="22" t="s">
        <v>78</v>
      </c>
      <c r="D706" s="22" t="s">
        <v>65</v>
      </c>
      <c r="E706" s="22" t="s">
        <v>48</v>
      </c>
      <c r="F706" s="27">
        <v>2024</v>
      </c>
      <c r="G706" s="22" t="s">
        <v>43</v>
      </c>
      <c r="H706" s="22" t="s">
        <v>80</v>
      </c>
      <c r="I706" s="22" t="s">
        <v>55</v>
      </c>
      <c r="J706" s="45">
        <v>25000</v>
      </c>
      <c r="K706" s="1">
        <v>1</v>
      </c>
      <c r="L706" s="2">
        <v>20</v>
      </c>
      <c r="M706" s="45">
        <v>20000</v>
      </c>
      <c r="N706" s="45">
        <v>12268</v>
      </c>
      <c r="O706" s="45">
        <v>7732</v>
      </c>
      <c r="P706" s="3">
        <v>38.659999999999997</v>
      </c>
      <c r="Q706" s="32" t="s">
        <v>75</v>
      </c>
      <c r="R706" s="32" t="s">
        <v>45</v>
      </c>
      <c r="S706" s="32" t="s">
        <v>30</v>
      </c>
      <c r="T706" s="32" t="s">
        <v>31</v>
      </c>
      <c r="U706" s="38">
        <v>4</v>
      </c>
      <c r="V706" s="9"/>
    </row>
    <row r="707" spans="1:22" x14ac:dyDescent="0.35">
      <c r="A707" s="18" t="s">
        <v>800</v>
      </c>
      <c r="B707" s="7">
        <v>45260</v>
      </c>
      <c r="C707" s="23" t="s">
        <v>33</v>
      </c>
      <c r="D707" s="23" t="s">
        <v>110</v>
      </c>
      <c r="E707" s="23" t="s">
        <v>24</v>
      </c>
      <c r="F707" s="28">
        <v>2023</v>
      </c>
      <c r="G707" s="23" t="s">
        <v>36</v>
      </c>
      <c r="H707" s="23" t="s">
        <v>80</v>
      </c>
      <c r="I707" s="23" t="s">
        <v>55</v>
      </c>
      <c r="J707" s="46">
        <v>25000</v>
      </c>
      <c r="K707" s="4">
        <v>8</v>
      </c>
      <c r="L707" s="5">
        <v>0</v>
      </c>
      <c r="M707" s="46">
        <v>200000</v>
      </c>
      <c r="N707" s="46">
        <v>143420</v>
      </c>
      <c r="O707" s="46">
        <v>56580</v>
      </c>
      <c r="P707" s="6">
        <v>28.29</v>
      </c>
      <c r="Q707" s="33" t="s">
        <v>75</v>
      </c>
      <c r="R707" s="33" t="s">
        <v>29</v>
      </c>
      <c r="S707" s="33" t="s">
        <v>85</v>
      </c>
      <c r="T707" s="33" t="s">
        <v>41</v>
      </c>
      <c r="U707" s="39">
        <v>3</v>
      </c>
      <c r="V707" s="9"/>
    </row>
    <row r="708" spans="1:22" x14ac:dyDescent="0.35">
      <c r="A708" s="17" t="s">
        <v>801</v>
      </c>
      <c r="B708" s="8">
        <v>45123</v>
      </c>
      <c r="C708" s="22" t="s">
        <v>33</v>
      </c>
      <c r="D708" s="22" t="s">
        <v>23</v>
      </c>
      <c r="E708" s="22" t="s">
        <v>24</v>
      </c>
      <c r="F708" s="27">
        <v>2023</v>
      </c>
      <c r="G708" s="22" t="s">
        <v>36</v>
      </c>
      <c r="H708" s="22" t="s">
        <v>186</v>
      </c>
      <c r="I708" s="22" t="s">
        <v>55</v>
      </c>
      <c r="J708" s="45">
        <v>20000</v>
      </c>
      <c r="K708" s="1">
        <v>7</v>
      </c>
      <c r="L708" s="2">
        <v>10</v>
      </c>
      <c r="M708" s="45">
        <v>126000</v>
      </c>
      <c r="N708" s="45">
        <v>85098</v>
      </c>
      <c r="O708" s="45">
        <v>40902</v>
      </c>
      <c r="P708" s="3">
        <v>32.46</v>
      </c>
      <c r="Q708" s="32" t="s">
        <v>28</v>
      </c>
      <c r="R708" s="32" t="s">
        <v>45</v>
      </c>
      <c r="S708" s="32" t="s">
        <v>85</v>
      </c>
      <c r="T708" s="32" t="s">
        <v>41</v>
      </c>
      <c r="U708" s="38">
        <v>4</v>
      </c>
      <c r="V708" s="9"/>
    </row>
    <row r="709" spans="1:22" x14ac:dyDescent="0.35">
      <c r="A709" s="18" t="s">
        <v>802</v>
      </c>
      <c r="B709" s="7">
        <v>45229</v>
      </c>
      <c r="C709" s="23" t="s">
        <v>83</v>
      </c>
      <c r="D709" s="23" t="s">
        <v>34</v>
      </c>
      <c r="E709" s="23" t="s">
        <v>35</v>
      </c>
      <c r="F709" s="28">
        <v>2023</v>
      </c>
      <c r="G709" s="23" t="s">
        <v>36</v>
      </c>
      <c r="H709" s="23" t="s">
        <v>113</v>
      </c>
      <c r="I709" s="23" t="s">
        <v>38</v>
      </c>
      <c r="J709" s="46">
        <v>3500</v>
      </c>
      <c r="K709" s="4">
        <v>7</v>
      </c>
      <c r="L709" s="5">
        <v>0</v>
      </c>
      <c r="M709" s="46">
        <v>24500</v>
      </c>
      <c r="N709" s="46">
        <v>13859</v>
      </c>
      <c r="O709" s="46">
        <v>10641</v>
      </c>
      <c r="P709" s="6">
        <v>43.43</v>
      </c>
      <c r="Q709" s="33" t="s">
        <v>51</v>
      </c>
      <c r="R709" s="33" t="s">
        <v>56</v>
      </c>
      <c r="S709" s="33" t="s">
        <v>40</v>
      </c>
      <c r="T709" s="33" t="s">
        <v>41</v>
      </c>
      <c r="U709" s="39">
        <v>1</v>
      </c>
      <c r="V709" s="9"/>
    </row>
    <row r="710" spans="1:22" x14ac:dyDescent="0.35">
      <c r="A710" s="17" t="s">
        <v>803</v>
      </c>
      <c r="B710" s="8">
        <v>45266</v>
      </c>
      <c r="C710" s="22" t="s">
        <v>70</v>
      </c>
      <c r="D710" s="22" t="s">
        <v>47</v>
      </c>
      <c r="E710" s="22" t="s">
        <v>48</v>
      </c>
      <c r="F710" s="27">
        <v>2024</v>
      </c>
      <c r="G710" s="22" t="s">
        <v>25</v>
      </c>
      <c r="H710" s="22" t="s">
        <v>126</v>
      </c>
      <c r="I710" s="22" t="s">
        <v>55</v>
      </c>
      <c r="J710" s="45">
        <v>12000</v>
      </c>
      <c r="K710" s="1">
        <v>10</v>
      </c>
      <c r="L710" s="2">
        <v>10</v>
      </c>
      <c r="M710" s="45">
        <v>108000</v>
      </c>
      <c r="N710" s="45">
        <v>68928</v>
      </c>
      <c r="O710" s="45">
        <v>39072</v>
      </c>
      <c r="P710" s="3">
        <v>36.18</v>
      </c>
      <c r="Q710" s="32" t="s">
        <v>51</v>
      </c>
      <c r="R710" s="32" t="s">
        <v>45</v>
      </c>
      <c r="S710" s="32" t="s">
        <v>85</v>
      </c>
      <c r="T710" s="32" t="s">
        <v>41</v>
      </c>
      <c r="U710" s="38">
        <v>4</v>
      </c>
      <c r="V710" s="9"/>
    </row>
    <row r="711" spans="1:22" x14ac:dyDescent="0.35">
      <c r="A711" s="18" t="s">
        <v>804</v>
      </c>
      <c r="B711" s="7">
        <v>45149</v>
      </c>
      <c r="C711" s="23" t="s">
        <v>78</v>
      </c>
      <c r="D711" s="23" t="s">
        <v>97</v>
      </c>
      <c r="E711" s="23" t="s">
        <v>24</v>
      </c>
      <c r="F711" s="28">
        <v>2024</v>
      </c>
      <c r="G711" s="23" t="s">
        <v>43</v>
      </c>
      <c r="H711" s="23" t="s">
        <v>98</v>
      </c>
      <c r="I711" s="23" t="s">
        <v>63</v>
      </c>
      <c r="J711" s="46">
        <v>28000</v>
      </c>
      <c r="K711" s="4">
        <v>3</v>
      </c>
      <c r="L711" s="5">
        <v>0</v>
      </c>
      <c r="M711" s="46">
        <v>84000</v>
      </c>
      <c r="N711" s="46">
        <v>53423</v>
      </c>
      <c r="O711" s="46">
        <v>30577</v>
      </c>
      <c r="P711" s="6">
        <v>36.4</v>
      </c>
      <c r="Q711" s="33" t="s">
        <v>51</v>
      </c>
      <c r="R711" s="33" t="s">
        <v>67</v>
      </c>
      <c r="S711" s="33" t="s">
        <v>68</v>
      </c>
      <c r="T711" s="33" t="s">
        <v>31</v>
      </c>
      <c r="U711" s="39">
        <v>4</v>
      </c>
      <c r="V711" s="9"/>
    </row>
    <row r="712" spans="1:22" x14ac:dyDescent="0.35">
      <c r="A712" s="17" t="s">
        <v>805</v>
      </c>
      <c r="B712" s="8">
        <v>45111</v>
      </c>
      <c r="C712" s="22" t="s">
        <v>90</v>
      </c>
      <c r="D712" s="22" t="s">
        <v>34</v>
      </c>
      <c r="E712" s="22" t="s">
        <v>35</v>
      </c>
      <c r="F712" s="27">
        <v>2024</v>
      </c>
      <c r="G712" s="22" t="s">
        <v>43</v>
      </c>
      <c r="H712" s="22" t="s">
        <v>44</v>
      </c>
      <c r="I712" s="22" t="s">
        <v>27</v>
      </c>
      <c r="J712" s="45">
        <v>6000</v>
      </c>
      <c r="K712" s="1">
        <v>9</v>
      </c>
      <c r="L712" s="2">
        <v>0</v>
      </c>
      <c r="M712" s="45">
        <v>54000</v>
      </c>
      <c r="N712" s="45">
        <v>38161</v>
      </c>
      <c r="O712" s="45">
        <v>15839</v>
      </c>
      <c r="P712" s="3">
        <v>29.33</v>
      </c>
      <c r="Q712" s="32" t="s">
        <v>28</v>
      </c>
      <c r="R712" s="32" t="s">
        <v>29</v>
      </c>
      <c r="S712" s="32" t="s">
        <v>40</v>
      </c>
      <c r="T712" s="32" t="s">
        <v>31</v>
      </c>
      <c r="U712" s="38">
        <v>3</v>
      </c>
      <c r="V712" s="9"/>
    </row>
    <row r="713" spans="1:22" x14ac:dyDescent="0.35">
      <c r="A713" s="18" t="s">
        <v>806</v>
      </c>
      <c r="B713" s="7">
        <v>44940</v>
      </c>
      <c r="C713" s="23" t="s">
        <v>33</v>
      </c>
      <c r="D713" s="23" t="s">
        <v>108</v>
      </c>
      <c r="E713" s="23" t="s">
        <v>72</v>
      </c>
      <c r="F713" s="28">
        <v>2024</v>
      </c>
      <c r="G713" s="23" t="s">
        <v>61</v>
      </c>
      <c r="H713" s="23" t="s">
        <v>117</v>
      </c>
      <c r="I713" s="23" t="s">
        <v>50</v>
      </c>
      <c r="J713" s="46">
        <v>8000</v>
      </c>
      <c r="K713" s="4">
        <v>9</v>
      </c>
      <c r="L713" s="5">
        <v>0</v>
      </c>
      <c r="M713" s="46">
        <v>72000</v>
      </c>
      <c r="N713" s="46">
        <v>41041</v>
      </c>
      <c r="O713" s="46">
        <v>30959</v>
      </c>
      <c r="P713" s="6">
        <v>43</v>
      </c>
      <c r="Q713" s="33" t="s">
        <v>81</v>
      </c>
      <c r="R713" s="33" t="s">
        <v>45</v>
      </c>
      <c r="S713" s="33" t="s">
        <v>57</v>
      </c>
      <c r="T713" s="33" t="s">
        <v>41</v>
      </c>
      <c r="U713" s="39">
        <v>1</v>
      </c>
      <c r="V713" s="9"/>
    </row>
    <row r="714" spans="1:22" x14ac:dyDescent="0.35">
      <c r="A714" s="17" t="s">
        <v>807</v>
      </c>
      <c r="B714" s="8">
        <v>45338</v>
      </c>
      <c r="C714" s="22" t="s">
        <v>53</v>
      </c>
      <c r="D714" s="22" t="s">
        <v>116</v>
      </c>
      <c r="E714" s="22" t="s">
        <v>35</v>
      </c>
      <c r="F714" s="27">
        <v>2023</v>
      </c>
      <c r="G714" s="22" t="s">
        <v>36</v>
      </c>
      <c r="H714" s="22" t="s">
        <v>66</v>
      </c>
      <c r="I714" s="22" t="s">
        <v>38</v>
      </c>
      <c r="J714" s="45">
        <v>11000</v>
      </c>
      <c r="K714" s="1">
        <v>7</v>
      </c>
      <c r="L714" s="2">
        <v>0</v>
      </c>
      <c r="M714" s="45">
        <v>77000</v>
      </c>
      <c r="N714" s="45">
        <v>54613</v>
      </c>
      <c r="O714" s="45">
        <v>22387</v>
      </c>
      <c r="P714" s="3">
        <v>29.07</v>
      </c>
      <c r="Q714" s="32" t="s">
        <v>81</v>
      </c>
      <c r="R714" s="32" t="s">
        <v>45</v>
      </c>
      <c r="S714" s="32" t="s">
        <v>68</v>
      </c>
      <c r="T714" s="32" t="s">
        <v>41</v>
      </c>
      <c r="U714" s="38">
        <v>1</v>
      </c>
      <c r="V714" s="9"/>
    </row>
    <row r="715" spans="1:22" x14ac:dyDescent="0.35">
      <c r="A715" s="18" t="s">
        <v>808</v>
      </c>
      <c r="B715" s="7">
        <v>45049</v>
      </c>
      <c r="C715" s="23" t="s">
        <v>53</v>
      </c>
      <c r="D715" s="23" t="s">
        <v>116</v>
      </c>
      <c r="E715" s="23" t="s">
        <v>35</v>
      </c>
      <c r="F715" s="28">
        <v>2023</v>
      </c>
      <c r="G715" s="23" t="s">
        <v>25</v>
      </c>
      <c r="H715" s="23" t="s">
        <v>54</v>
      </c>
      <c r="I715" s="23" t="s">
        <v>55</v>
      </c>
      <c r="J715" s="46">
        <v>18000</v>
      </c>
      <c r="K715" s="4">
        <v>2</v>
      </c>
      <c r="L715" s="5">
        <v>20</v>
      </c>
      <c r="M715" s="46">
        <v>28800</v>
      </c>
      <c r="N715" s="46">
        <v>16059</v>
      </c>
      <c r="O715" s="46">
        <v>12741</v>
      </c>
      <c r="P715" s="6">
        <v>44.24</v>
      </c>
      <c r="Q715" s="33" t="s">
        <v>51</v>
      </c>
      <c r="R715" s="33" t="s">
        <v>29</v>
      </c>
      <c r="S715" s="33" t="s">
        <v>57</v>
      </c>
      <c r="T715" s="33" t="s">
        <v>41</v>
      </c>
      <c r="U715" s="39">
        <v>4</v>
      </c>
      <c r="V715" s="9"/>
    </row>
    <row r="716" spans="1:22" x14ac:dyDescent="0.35">
      <c r="A716" s="17" t="s">
        <v>809</v>
      </c>
      <c r="B716" s="8">
        <v>45530</v>
      </c>
      <c r="C716" s="22" t="s">
        <v>22</v>
      </c>
      <c r="D716" s="22" t="s">
        <v>116</v>
      </c>
      <c r="E716" s="22" t="s">
        <v>35</v>
      </c>
      <c r="F716" s="27">
        <v>2024</v>
      </c>
      <c r="G716" s="22" t="s">
        <v>61</v>
      </c>
      <c r="H716" s="22" t="s">
        <v>186</v>
      </c>
      <c r="I716" s="22" t="s">
        <v>55</v>
      </c>
      <c r="J716" s="45">
        <v>20000</v>
      </c>
      <c r="K716" s="1">
        <v>3</v>
      </c>
      <c r="L716" s="2">
        <v>10</v>
      </c>
      <c r="M716" s="45">
        <v>54000</v>
      </c>
      <c r="N716" s="45">
        <v>35543</v>
      </c>
      <c r="O716" s="45">
        <v>18457</v>
      </c>
      <c r="P716" s="3">
        <v>34.18</v>
      </c>
      <c r="Q716" s="32" t="s">
        <v>51</v>
      </c>
      <c r="R716" s="32" t="s">
        <v>67</v>
      </c>
      <c r="S716" s="32" t="s">
        <v>68</v>
      </c>
      <c r="T716" s="32" t="s">
        <v>31</v>
      </c>
      <c r="U716" s="38">
        <v>5</v>
      </c>
      <c r="V716" s="9"/>
    </row>
    <row r="717" spans="1:22" x14ac:dyDescent="0.35">
      <c r="A717" s="18" t="s">
        <v>810</v>
      </c>
      <c r="B717" s="7">
        <v>45173</v>
      </c>
      <c r="C717" s="23" t="s">
        <v>90</v>
      </c>
      <c r="D717" s="23" t="s">
        <v>110</v>
      </c>
      <c r="E717" s="23" t="s">
        <v>24</v>
      </c>
      <c r="F717" s="28">
        <v>2024</v>
      </c>
      <c r="G717" s="23" t="s">
        <v>25</v>
      </c>
      <c r="H717" s="23" t="s">
        <v>126</v>
      </c>
      <c r="I717" s="23" t="s">
        <v>55</v>
      </c>
      <c r="J717" s="46">
        <v>12000</v>
      </c>
      <c r="K717" s="4">
        <v>7</v>
      </c>
      <c r="L717" s="5">
        <v>0</v>
      </c>
      <c r="M717" s="46">
        <v>84000</v>
      </c>
      <c r="N717" s="46">
        <v>59055</v>
      </c>
      <c r="O717" s="46">
        <v>24945</v>
      </c>
      <c r="P717" s="6">
        <v>29.7</v>
      </c>
      <c r="Q717" s="33" t="s">
        <v>81</v>
      </c>
      <c r="R717" s="33" t="s">
        <v>29</v>
      </c>
      <c r="S717" s="33" t="s">
        <v>30</v>
      </c>
      <c r="T717" s="33" t="s">
        <v>41</v>
      </c>
      <c r="U717" s="39">
        <v>1</v>
      </c>
      <c r="V717" s="9"/>
    </row>
    <row r="718" spans="1:22" x14ac:dyDescent="0.35">
      <c r="A718" s="17" t="s">
        <v>811</v>
      </c>
      <c r="B718" s="8">
        <v>45223</v>
      </c>
      <c r="C718" s="22" t="s">
        <v>90</v>
      </c>
      <c r="D718" s="22" t="s">
        <v>87</v>
      </c>
      <c r="E718" s="22" t="s">
        <v>35</v>
      </c>
      <c r="F718" s="27">
        <v>2023</v>
      </c>
      <c r="G718" s="22" t="s">
        <v>43</v>
      </c>
      <c r="H718" s="22" t="s">
        <v>101</v>
      </c>
      <c r="I718" s="22" t="s">
        <v>27</v>
      </c>
      <c r="J718" s="45">
        <v>9000</v>
      </c>
      <c r="K718" s="1">
        <v>5</v>
      </c>
      <c r="L718" s="2">
        <v>10</v>
      </c>
      <c r="M718" s="45">
        <v>40500</v>
      </c>
      <c r="N718" s="45">
        <v>26717</v>
      </c>
      <c r="O718" s="45">
        <v>13783</v>
      </c>
      <c r="P718" s="3">
        <v>34.03</v>
      </c>
      <c r="Q718" s="32" t="s">
        <v>75</v>
      </c>
      <c r="R718" s="32" t="s">
        <v>76</v>
      </c>
      <c r="S718" s="32" t="s">
        <v>68</v>
      </c>
      <c r="T718" s="32" t="s">
        <v>31</v>
      </c>
      <c r="U718" s="38">
        <v>4</v>
      </c>
      <c r="V718" s="9"/>
    </row>
    <row r="719" spans="1:22" x14ac:dyDescent="0.35">
      <c r="A719" s="18" t="s">
        <v>812</v>
      </c>
      <c r="B719" s="7">
        <v>45158</v>
      </c>
      <c r="C719" s="23" t="s">
        <v>22</v>
      </c>
      <c r="D719" s="23" t="s">
        <v>116</v>
      </c>
      <c r="E719" s="23" t="s">
        <v>35</v>
      </c>
      <c r="F719" s="28">
        <v>2024</v>
      </c>
      <c r="G719" s="23" t="s">
        <v>25</v>
      </c>
      <c r="H719" s="23" t="s">
        <v>26</v>
      </c>
      <c r="I719" s="23" t="s">
        <v>27</v>
      </c>
      <c r="J719" s="46">
        <v>5000</v>
      </c>
      <c r="K719" s="4">
        <v>9</v>
      </c>
      <c r="L719" s="5">
        <v>0</v>
      </c>
      <c r="M719" s="46">
        <v>45000</v>
      </c>
      <c r="N719" s="46">
        <v>32112</v>
      </c>
      <c r="O719" s="46">
        <v>12888</v>
      </c>
      <c r="P719" s="6">
        <v>28.64</v>
      </c>
      <c r="Q719" s="33" t="s">
        <v>81</v>
      </c>
      <c r="R719" s="33" t="s">
        <v>56</v>
      </c>
      <c r="S719" s="33" t="s">
        <v>68</v>
      </c>
      <c r="T719" s="33" t="s">
        <v>31</v>
      </c>
      <c r="U719" s="39">
        <v>5</v>
      </c>
      <c r="V719" s="9"/>
    </row>
    <row r="720" spans="1:22" x14ac:dyDescent="0.35">
      <c r="A720" s="17" t="s">
        <v>813</v>
      </c>
      <c r="B720" s="8">
        <v>45407</v>
      </c>
      <c r="C720" s="22" t="s">
        <v>78</v>
      </c>
      <c r="D720" s="22" t="s">
        <v>79</v>
      </c>
      <c r="E720" s="22" t="s">
        <v>72</v>
      </c>
      <c r="F720" s="27">
        <v>2024</v>
      </c>
      <c r="G720" s="22" t="s">
        <v>36</v>
      </c>
      <c r="H720" s="22" t="s">
        <v>59</v>
      </c>
      <c r="I720" s="22" t="s">
        <v>50</v>
      </c>
      <c r="J720" s="45">
        <v>22000</v>
      </c>
      <c r="K720" s="1">
        <v>10</v>
      </c>
      <c r="L720" s="2">
        <v>0</v>
      </c>
      <c r="M720" s="45">
        <v>220000</v>
      </c>
      <c r="N720" s="45">
        <v>139381</v>
      </c>
      <c r="O720" s="45">
        <v>80619</v>
      </c>
      <c r="P720" s="3">
        <v>36.65</v>
      </c>
      <c r="Q720" s="32" t="s">
        <v>28</v>
      </c>
      <c r="R720" s="32" t="s">
        <v>45</v>
      </c>
      <c r="S720" s="32" t="s">
        <v>40</v>
      </c>
      <c r="T720" s="32" t="s">
        <v>41</v>
      </c>
      <c r="U720" s="38">
        <v>1</v>
      </c>
      <c r="V720" s="9"/>
    </row>
    <row r="721" spans="1:22" x14ac:dyDescent="0.35">
      <c r="A721" s="18" t="s">
        <v>814</v>
      </c>
      <c r="B721" s="7">
        <v>45546</v>
      </c>
      <c r="C721" s="23" t="s">
        <v>90</v>
      </c>
      <c r="D721" s="23" t="s">
        <v>87</v>
      </c>
      <c r="E721" s="23" t="s">
        <v>35</v>
      </c>
      <c r="F721" s="28">
        <v>2024</v>
      </c>
      <c r="G721" s="23" t="s">
        <v>61</v>
      </c>
      <c r="H721" s="23" t="s">
        <v>59</v>
      </c>
      <c r="I721" s="23" t="s">
        <v>50</v>
      </c>
      <c r="J721" s="46">
        <v>22000</v>
      </c>
      <c r="K721" s="4">
        <v>5</v>
      </c>
      <c r="L721" s="5">
        <v>0</v>
      </c>
      <c r="M721" s="46">
        <v>110000</v>
      </c>
      <c r="N721" s="46">
        <v>62644</v>
      </c>
      <c r="O721" s="46">
        <v>47356</v>
      </c>
      <c r="P721" s="6">
        <v>43.05</v>
      </c>
      <c r="Q721" s="33" t="s">
        <v>28</v>
      </c>
      <c r="R721" s="33" t="s">
        <v>29</v>
      </c>
      <c r="S721" s="33" t="s">
        <v>68</v>
      </c>
      <c r="T721" s="33" t="s">
        <v>31</v>
      </c>
      <c r="U721" s="39">
        <v>2</v>
      </c>
      <c r="V721" s="9"/>
    </row>
    <row r="722" spans="1:22" x14ac:dyDescent="0.35">
      <c r="A722" s="17" t="s">
        <v>815</v>
      </c>
      <c r="B722" s="8">
        <v>45409</v>
      </c>
      <c r="C722" s="22" t="s">
        <v>83</v>
      </c>
      <c r="D722" s="22" t="s">
        <v>79</v>
      </c>
      <c r="E722" s="22" t="s">
        <v>72</v>
      </c>
      <c r="F722" s="27">
        <v>2023</v>
      </c>
      <c r="G722" s="22" t="s">
        <v>36</v>
      </c>
      <c r="H722" s="22" t="s">
        <v>44</v>
      </c>
      <c r="I722" s="22" t="s">
        <v>27</v>
      </c>
      <c r="J722" s="45">
        <v>6000</v>
      </c>
      <c r="K722" s="1">
        <v>5</v>
      </c>
      <c r="L722" s="2">
        <v>5</v>
      </c>
      <c r="M722" s="45">
        <v>28500</v>
      </c>
      <c r="N722" s="45">
        <v>18963</v>
      </c>
      <c r="O722" s="45">
        <v>9537</v>
      </c>
      <c r="P722" s="3">
        <v>33.46</v>
      </c>
      <c r="Q722" s="32" t="s">
        <v>28</v>
      </c>
      <c r="R722" s="32" t="s">
        <v>29</v>
      </c>
      <c r="S722" s="32" t="s">
        <v>57</v>
      </c>
      <c r="T722" s="32" t="s">
        <v>31</v>
      </c>
      <c r="U722" s="38">
        <v>1</v>
      </c>
      <c r="V722" s="9"/>
    </row>
    <row r="723" spans="1:22" x14ac:dyDescent="0.35">
      <c r="A723" s="18" t="s">
        <v>816</v>
      </c>
      <c r="B723" s="7">
        <v>45269</v>
      </c>
      <c r="C723" s="23" t="s">
        <v>33</v>
      </c>
      <c r="D723" s="23" t="s">
        <v>110</v>
      </c>
      <c r="E723" s="23" t="s">
        <v>24</v>
      </c>
      <c r="F723" s="28">
        <v>2023</v>
      </c>
      <c r="G723" s="23" t="s">
        <v>43</v>
      </c>
      <c r="H723" s="23" t="s">
        <v>93</v>
      </c>
      <c r="I723" s="23" t="s">
        <v>63</v>
      </c>
      <c r="J723" s="46">
        <v>14000</v>
      </c>
      <c r="K723" s="4">
        <v>6</v>
      </c>
      <c r="L723" s="5">
        <v>0</v>
      </c>
      <c r="M723" s="46">
        <v>84000</v>
      </c>
      <c r="N723" s="46">
        <v>52095</v>
      </c>
      <c r="O723" s="46">
        <v>31905</v>
      </c>
      <c r="P723" s="6">
        <v>37.979999999999997</v>
      </c>
      <c r="Q723" s="33" t="s">
        <v>81</v>
      </c>
      <c r="R723" s="33" t="s">
        <v>45</v>
      </c>
      <c r="S723" s="33" t="s">
        <v>40</v>
      </c>
      <c r="T723" s="33" t="s">
        <v>31</v>
      </c>
      <c r="U723" s="39">
        <v>2</v>
      </c>
      <c r="V723" s="9"/>
    </row>
    <row r="724" spans="1:22" x14ac:dyDescent="0.35">
      <c r="A724" s="17" t="s">
        <v>817</v>
      </c>
      <c r="B724" s="8">
        <v>45250</v>
      </c>
      <c r="C724" s="22" t="s">
        <v>70</v>
      </c>
      <c r="D724" s="22" t="s">
        <v>79</v>
      </c>
      <c r="E724" s="22" t="s">
        <v>72</v>
      </c>
      <c r="F724" s="27">
        <v>2023</v>
      </c>
      <c r="G724" s="22" t="s">
        <v>61</v>
      </c>
      <c r="H724" s="22" t="s">
        <v>88</v>
      </c>
      <c r="I724" s="22" t="s">
        <v>55</v>
      </c>
      <c r="J724" s="45">
        <v>8000</v>
      </c>
      <c r="K724" s="1">
        <v>4</v>
      </c>
      <c r="L724" s="2">
        <v>5</v>
      </c>
      <c r="M724" s="45">
        <v>30400</v>
      </c>
      <c r="N724" s="45">
        <v>19349</v>
      </c>
      <c r="O724" s="45">
        <v>11051</v>
      </c>
      <c r="P724" s="3">
        <v>36.35</v>
      </c>
      <c r="Q724" s="32" t="s">
        <v>75</v>
      </c>
      <c r="R724" s="32" t="s">
        <v>67</v>
      </c>
      <c r="S724" s="32" t="s">
        <v>30</v>
      </c>
      <c r="T724" s="32" t="s">
        <v>31</v>
      </c>
      <c r="U724" s="38">
        <v>3</v>
      </c>
      <c r="V724" s="9"/>
    </row>
    <row r="725" spans="1:22" x14ac:dyDescent="0.35">
      <c r="A725" s="18" t="s">
        <v>818</v>
      </c>
      <c r="B725" s="7">
        <v>45120</v>
      </c>
      <c r="C725" s="23" t="s">
        <v>53</v>
      </c>
      <c r="D725" s="23" t="s">
        <v>34</v>
      </c>
      <c r="E725" s="23" t="s">
        <v>35</v>
      </c>
      <c r="F725" s="28">
        <v>2024</v>
      </c>
      <c r="G725" s="23" t="s">
        <v>43</v>
      </c>
      <c r="H725" s="23" t="s">
        <v>126</v>
      </c>
      <c r="I725" s="23" t="s">
        <v>55</v>
      </c>
      <c r="J725" s="46">
        <v>12000</v>
      </c>
      <c r="K725" s="4">
        <v>2</v>
      </c>
      <c r="L725" s="5">
        <v>5</v>
      </c>
      <c r="M725" s="46">
        <v>22800</v>
      </c>
      <c r="N725" s="46">
        <v>12652</v>
      </c>
      <c r="O725" s="46">
        <v>10148</v>
      </c>
      <c r="P725" s="6">
        <v>44.51</v>
      </c>
      <c r="Q725" s="33" t="s">
        <v>39</v>
      </c>
      <c r="R725" s="33" t="s">
        <v>76</v>
      </c>
      <c r="S725" s="33" t="s">
        <v>57</v>
      </c>
      <c r="T725" s="33" t="s">
        <v>31</v>
      </c>
      <c r="U725" s="39">
        <v>5</v>
      </c>
      <c r="V725" s="9"/>
    </row>
    <row r="726" spans="1:22" x14ac:dyDescent="0.35">
      <c r="A726" s="17" t="s">
        <v>819</v>
      </c>
      <c r="B726" s="8">
        <v>45376</v>
      </c>
      <c r="C726" s="22" t="s">
        <v>83</v>
      </c>
      <c r="D726" s="22" t="s">
        <v>23</v>
      </c>
      <c r="E726" s="22" t="s">
        <v>24</v>
      </c>
      <c r="F726" s="27">
        <v>2024</v>
      </c>
      <c r="G726" s="22" t="s">
        <v>61</v>
      </c>
      <c r="H726" s="22" t="s">
        <v>123</v>
      </c>
      <c r="I726" s="22" t="s">
        <v>38</v>
      </c>
      <c r="J726" s="45">
        <v>14000</v>
      </c>
      <c r="K726" s="1">
        <v>10</v>
      </c>
      <c r="L726" s="2">
        <v>5</v>
      </c>
      <c r="M726" s="45">
        <v>133000</v>
      </c>
      <c r="N726" s="45">
        <v>83234</v>
      </c>
      <c r="O726" s="45">
        <v>49766</v>
      </c>
      <c r="P726" s="3">
        <v>37.42</v>
      </c>
      <c r="Q726" s="32" t="s">
        <v>75</v>
      </c>
      <c r="R726" s="32" t="s">
        <v>56</v>
      </c>
      <c r="S726" s="32" t="s">
        <v>68</v>
      </c>
      <c r="T726" s="32" t="s">
        <v>31</v>
      </c>
      <c r="U726" s="38">
        <v>2</v>
      </c>
      <c r="V726" s="9"/>
    </row>
    <row r="727" spans="1:22" x14ac:dyDescent="0.35">
      <c r="A727" s="18" t="s">
        <v>820</v>
      </c>
      <c r="B727" s="7">
        <v>45158</v>
      </c>
      <c r="C727" s="23" t="s">
        <v>33</v>
      </c>
      <c r="D727" s="23" t="s">
        <v>71</v>
      </c>
      <c r="E727" s="23" t="s">
        <v>72</v>
      </c>
      <c r="F727" s="28">
        <v>2024</v>
      </c>
      <c r="G727" s="23" t="s">
        <v>36</v>
      </c>
      <c r="H727" s="23" t="s">
        <v>119</v>
      </c>
      <c r="I727" s="23" t="s">
        <v>63</v>
      </c>
      <c r="J727" s="46">
        <v>16000</v>
      </c>
      <c r="K727" s="4">
        <v>8</v>
      </c>
      <c r="L727" s="5">
        <v>0</v>
      </c>
      <c r="M727" s="46">
        <v>128000</v>
      </c>
      <c r="N727" s="46">
        <v>70422</v>
      </c>
      <c r="O727" s="46">
        <v>57578</v>
      </c>
      <c r="P727" s="6">
        <v>44.98</v>
      </c>
      <c r="Q727" s="33" t="s">
        <v>51</v>
      </c>
      <c r="R727" s="33" t="s">
        <v>29</v>
      </c>
      <c r="S727" s="33" t="s">
        <v>57</v>
      </c>
      <c r="T727" s="33" t="s">
        <v>31</v>
      </c>
      <c r="U727" s="39">
        <v>1</v>
      </c>
      <c r="V727" s="9"/>
    </row>
    <row r="728" spans="1:22" x14ac:dyDescent="0.35">
      <c r="A728" s="17" t="s">
        <v>821</v>
      </c>
      <c r="B728" s="8">
        <v>45411</v>
      </c>
      <c r="C728" s="22" t="s">
        <v>22</v>
      </c>
      <c r="D728" s="22" t="s">
        <v>116</v>
      </c>
      <c r="E728" s="22" t="s">
        <v>35</v>
      </c>
      <c r="F728" s="27">
        <v>2024</v>
      </c>
      <c r="G728" s="22" t="s">
        <v>61</v>
      </c>
      <c r="H728" s="22" t="s">
        <v>49</v>
      </c>
      <c r="I728" s="22" t="s">
        <v>50</v>
      </c>
      <c r="J728" s="45">
        <v>18000</v>
      </c>
      <c r="K728" s="1">
        <v>5</v>
      </c>
      <c r="L728" s="2">
        <v>20</v>
      </c>
      <c r="M728" s="45">
        <v>72000</v>
      </c>
      <c r="N728" s="45">
        <v>47923</v>
      </c>
      <c r="O728" s="45">
        <v>24077</v>
      </c>
      <c r="P728" s="3">
        <v>33.44</v>
      </c>
      <c r="Q728" s="32" t="s">
        <v>81</v>
      </c>
      <c r="R728" s="32" t="s">
        <v>56</v>
      </c>
      <c r="S728" s="32" t="s">
        <v>85</v>
      </c>
      <c r="T728" s="32" t="s">
        <v>31</v>
      </c>
      <c r="U728" s="38">
        <v>2</v>
      </c>
      <c r="V728" s="9"/>
    </row>
    <row r="729" spans="1:22" x14ac:dyDescent="0.35">
      <c r="A729" s="18" t="s">
        <v>822</v>
      </c>
      <c r="B729" s="7">
        <v>45276</v>
      </c>
      <c r="C729" s="23" t="s">
        <v>70</v>
      </c>
      <c r="D729" s="23" t="s">
        <v>87</v>
      </c>
      <c r="E729" s="23" t="s">
        <v>35</v>
      </c>
      <c r="F729" s="28">
        <v>2024</v>
      </c>
      <c r="G729" s="23" t="s">
        <v>61</v>
      </c>
      <c r="H729" s="23" t="s">
        <v>80</v>
      </c>
      <c r="I729" s="23" t="s">
        <v>55</v>
      </c>
      <c r="J729" s="46">
        <v>25000</v>
      </c>
      <c r="K729" s="4">
        <v>5</v>
      </c>
      <c r="L729" s="5">
        <v>0</v>
      </c>
      <c r="M729" s="46">
        <v>125000</v>
      </c>
      <c r="N729" s="46">
        <v>77150</v>
      </c>
      <c r="O729" s="46">
        <v>47850</v>
      </c>
      <c r="P729" s="6">
        <v>38.28</v>
      </c>
      <c r="Q729" s="33" t="s">
        <v>28</v>
      </c>
      <c r="R729" s="33" t="s">
        <v>56</v>
      </c>
      <c r="S729" s="33" t="s">
        <v>85</v>
      </c>
      <c r="T729" s="33" t="s">
        <v>41</v>
      </c>
      <c r="U729" s="39">
        <v>2</v>
      </c>
      <c r="V729" s="9"/>
    </row>
    <row r="730" spans="1:22" x14ac:dyDescent="0.35">
      <c r="A730" s="17" t="s">
        <v>823</v>
      </c>
      <c r="B730" s="8">
        <v>45423</v>
      </c>
      <c r="C730" s="22" t="s">
        <v>83</v>
      </c>
      <c r="D730" s="22" t="s">
        <v>79</v>
      </c>
      <c r="E730" s="22" t="s">
        <v>72</v>
      </c>
      <c r="F730" s="27">
        <v>2024</v>
      </c>
      <c r="G730" s="22" t="s">
        <v>61</v>
      </c>
      <c r="H730" s="22" t="s">
        <v>54</v>
      </c>
      <c r="I730" s="22" t="s">
        <v>55</v>
      </c>
      <c r="J730" s="45">
        <v>18000</v>
      </c>
      <c r="K730" s="1">
        <v>6</v>
      </c>
      <c r="L730" s="2">
        <v>15</v>
      </c>
      <c r="M730" s="45">
        <v>91800</v>
      </c>
      <c r="N730" s="45">
        <v>54569</v>
      </c>
      <c r="O730" s="45">
        <v>37231</v>
      </c>
      <c r="P730" s="3">
        <v>40.56</v>
      </c>
      <c r="Q730" s="32" t="s">
        <v>51</v>
      </c>
      <c r="R730" s="32" t="s">
        <v>45</v>
      </c>
      <c r="S730" s="32" t="s">
        <v>68</v>
      </c>
      <c r="T730" s="32" t="s">
        <v>41</v>
      </c>
      <c r="U730" s="38">
        <v>2</v>
      </c>
      <c r="V730" s="9"/>
    </row>
    <row r="731" spans="1:22" x14ac:dyDescent="0.35">
      <c r="A731" s="18" t="s">
        <v>824</v>
      </c>
      <c r="B731" s="7">
        <v>45348</v>
      </c>
      <c r="C731" s="23" t="s">
        <v>90</v>
      </c>
      <c r="D731" s="23" t="s">
        <v>34</v>
      </c>
      <c r="E731" s="23" t="s">
        <v>35</v>
      </c>
      <c r="F731" s="28">
        <v>2024</v>
      </c>
      <c r="G731" s="23" t="s">
        <v>43</v>
      </c>
      <c r="H731" s="23" t="s">
        <v>54</v>
      </c>
      <c r="I731" s="23" t="s">
        <v>55</v>
      </c>
      <c r="J731" s="46">
        <v>18000</v>
      </c>
      <c r="K731" s="4">
        <v>1</v>
      </c>
      <c r="L731" s="5">
        <v>15</v>
      </c>
      <c r="M731" s="46">
        <v>15300</v>
      </c>
      <c r="N731" s="46">
        <v>8763</v>
      </c>
      <c r="O731" s="46">
        <v>6537</v>
      </c>
      <c r="P731" s="6">
        <v>42.73</v>
      </c>
      <c r="Q731" s="33" t="s">
        <v>28</v>
      </c>
      <c r="R731" s="33" t="s">
        <v>29</v>
      </c>
      <c r="S731" s="33" t="s">
        <v>40</v>
      </c>
      <c r="T731" s="33" t="s">
        <v>31</v>
      </c>
      <c r="U731" s="39">
        <v>2</v>
      </c>
      <c r="V731" s="9"/>
    </row>
    <row r="732" spans="1:22" x14ac:dyDescent="0.35">
      <c r="A732" s="17" t="s">
        <v>825</v>
      </c>
      <c r="B732" s="8">
        <v>45442</v>
      </c>
      <c r="C732" s="22" t="s">
        <v>22</v>
      </c>
      <c r="D732" s="22" t="s">
        <v>74</v>
      </c>
      <c r="E732" s="22" t="s">
        <v>48</v>
      </c>
      <c r="F732" s="27">
        <v>2024</v>
      </c>
      <c r="G732" s="22" t="s">
        <v>25</v>
      </c>
      <c r="H732" s="22" t="s">
        <v>126</v>
      </c>
      <c r="I732" s="22" t="s">
        <v>55</v>
      </c>
      <c r="J732" s="45">
        <v>12000</v>
      </c>
      <c r="K732" s="1">
        <v>7</v>
      </c>
      <c r="L732" s="2">
        <v>10</v>
      </c>
      <c r="M732" s="45">
        <v>75600</v>
      </c>
      <c r="N732" s="45">
        <v>42623</v>
      </c>
      <c r="O732" s="45">
        <v>32977</v>
      </c>
      <c r="P732" s="3">
        <v>43.62</v>
      </c>
      <c r="Q732" s="32" t="s">
        <v>28</v>
      </c>
      <c r="R732" s="32" t="s">
        <v>29</v>
      </c>
      <c r="S732" s="32" t="s">
        <v>30</v>
      </c>
      <c r="T732" s="32" t="s">
        <v>31</v>
      </c>
      <c r="U732" s="38">
        <v>3</v>
      </c>
      <c r="V732" s="9"/>
    </row>
    <row r="733" spans="1:22" x14ac:dyDescent="0.35">
      <c r="A733" s="18" t="s">
        <v>826</v>
      </c>
      <c r="B733" s="7">
        <v>45598</v>
      </c>
      <c r="C733" s="23" t="s">
        <v>70</v>
      </c>
      <c r="D733" s="23" t="s">
        <v>47</v>
      </c>
      <c r="E733" s="23" t="s">
        <v>48</v>
      </c>
      <c r="F733" s="28">
        <v>2024</v>
      </c>
      <c r="G733" s="23" t="s">
        <v>61</v>
      </c>
      <c r="H733" s="23" t="s">
        <v>54</v>
      </c>
      <c r="I733" s="23" t="s">
        <v>55</v>
      </c>
      <c r="J733" s="46">
        <v>18000</v>
      </c>
      <c r="K733" s="4">
        <v>7</v>
      </c>
      <c r="L733" s="5">
        <v>0</v>
      </c>
      <c r="M733" s="46">
        <v>126000</v>
      </c>
      <c r="N733" s="46">
        <v>87275</v>
      </c>
      <c r="O733" s="46">
        <v>38725</v>
      </c>
      <c r="P733" s="6">
        <v>30.73</v>
      </c>
      <c r="Q733" s="33" t="s">
        <v>28</v>
      </c>
      <c r="R733" s="33" t="s">
        <v>76</v>
      </c>
      <c r="S733" s="33" t="s">
        <v>40</v>
      </c>
      <c r="T733" s="33" t="s">
        <v>31</v>
      </c>
      <c r="U733" s="39">
        <v>4</v>
      </c>
      <c r="V733" s="9"/>
    </row>
    <row r="734" spans="1:22" x14ac:dyDescent="0.35">
      <c r="A734" s="17" t="s">
        <v>827</v>
      </c>
      <c r="B734" s="8">
        <v>45317</v>
      </c>
      <c r="C734" s="22" t="s">
        <v>83</v>
      </c>
      <c r="D734" s="22" t="s">
        <v>47</v>
      </c>
      <c r="E734" s="22" t="s">
        <v>48</v>
      </c>
      <c r="F734" s="27">
        <v>2023</v>
      </c>
      <c r="G734" s="22" t="s">
        <v>61</v>
      </c>
      <c r="H734" s="22" t="s">
        <v>106</v>
      </c>
      <c r="I734" s="22" t="s">
        <v>38</v>
      </c>
      <c r="J734" s="45">
        <v>12000</v>
      </c>
      <c r="K734" s="1">
        <v>5</v>
      </c>
      <c r="L734" s="2">
        <v>15</v>
      </c>
      <c r="M734" s="45">
        <v>51000</v>
      </c>
      <c r="N734" s="45">
        <v>36039</v>
      </c>
      <c r="O734" s="45">
        <v>14961</v>
      </c>
      <c r="P734" s="3">
        <v>29.34</v>
      </c>
      <c r="Q734" s="32" t="s">
        <v>81</v>
      </c>
      <c r="R734" s="32" t="s">
        <v>56</v>
      </c>
      <c r="S734" s="32" t="s">
        <v>30</v>
      </c>
      <c r="T734" s="32" t="s">
        <v>31</v>
      </c>
      <c r="U734" s="38">
        <v>2</v>
      </c>
      <c r="V734" s="9"/>
    </row>
    <row r="735" spans="1:22" x14ac:dyDescent="0.35">
      <c r="A735" s="18" t="s">
        <v>828</v>
      </c>
      <c r="B735" s="7">
        <v>45576</v>
      </c>
      <c r="C735" s="23" t="s">
        <v>90</v>
      </c>
      <c r="D735" s="23" t="s">
        <v>116</v>
      </c>
      <c r="E735" s="23" t="s">
        <v>35</v>
      </c>
      <c r="F735" s="28">
        <v>2024</v>
      </c>
      <c r="G735" s="23" t="s">
        <v>36</v>
      </c>
      <c r="H735" s="23" t="s">
        <v>117</v>
      </c>
      <c r="I735" s="23" t="s">
        <v>50</v>
      </c>
      <c r="J735" s="46">
        <v>8000</v>
      </c>
      <c r="K735" s="4">
        <v>5</v>
      </c>
      <c r="L735" s="5">
        <v>5</v>
      </c>
      <c r="M735" s="46">
        <v>38000</v>
      </c>
      <c r="N735" s="46">
        <v>26743</v>
      </c>
      <c r="O735" s="46">
        <v>11257</v>
      </c>
      <c r="P735" s="6">
        <v>29.62</v>
      </c>
      <c r="Q735" s="33" t="s">
        <v>75</v>
      </c>
      <c r="R735" s="33" t="s">
        <v>56</v>
      </c>
      <c r="S735" s="33" t="s">
        <v>30</v>
      </c>
      <c r="T735" s="33" t="s">
        <v>41</v>
      </c>
      <c r="U735" s="39">
        <v>1</v>
      </c>
      <c r="V735" s="9"/>
    </row>
    <row r="736" spans="1:22" x14ac:dyDescent="0.35">
      <c r="A736" s="17" t="s">
        <v>829</v>
      </c>
      <c r="B736" s="8">
        <v>45311</v>
      </c>
      <c r="C736" s="22" t="s">
        <v>33</v>
      </c>
      <c r="D736" s="22" t="s">
        <v>23</v>
      </c>
      <c r="E736" s="22" t="s">
        <v>24</v>
      </c>
      <c r="F736" s="27">
        <v>2023</v>
      </c>
      <c r="G736" s="22" t="s">
        <v>36</v>
      </c>
      <c r="H736" s="22" t="s">
        <v>88</v>
      </c>
      <c r="I736" s="22" t="s">
        <v>55</v>
      </c>
      <c r="J736" s="45">
        <v>8000</v>
      </c>
      <c r="K736" s="1">
        <v>8</v>
      </c>
      <c r="L736" s="2">
        <v>0</v>
      </c>
      <c r="M736" s="45">
        <v>64000</v>
      </c>
      <c r="N736" s="45">
        <v>41203</v>
      </c>
      <c r="O736" s="45">
        <v>22797</v>
      </c>
      <c r="P736" s="3">
        <v>35.619999999999997</v>
      </c>
      <c r="Q736" s="32" t="s">
        <v>75</v>
      </c>
      <c r="R736" s="32" t="s">
        <v>29</v>
      </c>
      <c r="S736" s="32" t="s">
        <v>85</v>
      </c>
      <c r="T736" s="32" t="s">
        <v>31</v>
      </c>
      <c r="U736" s="38">
        <v>5</v>
      </c>
      <c r="V736" s="9"/>
    </row>
    <row r="737" spans="1:22" x14ac:dyDescent="0.35">
      <c r="A737" s="18" t="s">
        <v>830</v>
      </c>
      <c r="B737" s="7">
        <v>45614</v>
      </c>
      <c r="C737" s="23" t="s">
        <v>78</v>
      </c>
      <c r="D737" s="23" t="s">
        <v>116</v>
      </c>
      <c r="E737" s="23" t="s">
        <v>35</v>
      </c>
      <c r="F737" s="28">
        <v>2023</v>
      </c>
      <c r="G737" s="23" t="s">
        <v>43</v>
      </c>
      <c r="H737" s="23" t="s">
        <v>44</v>
      </c>
      <c r="I737" s="23" t="s">
        <v>27</v>
      </c>
      <c r="J737" s="46">
        <v>6000</v>
      </c>
      <c r="K737" s="4">
        <v>5</v>
      </c>
      <c r="L737" s="5">
        <v>10</v>
      </c>
      <c r="M737" s="46">
        <v>27000</v>
      </c>
      <c r="N737" s="46">
        <v>18777</v>
      </c>
      <c r="O737" s="46">
        <v>8223</v>
      </c>
      <c r="P737" s="6">
        <v>30.46</v>
      </c>
      <c r="Q737" s="33" t="s">
        <v>75</v>
      </c>
      <c r="R737" s="33" t="s">
        <v>45</v>
      </c>
      <c r="S737" s="33" t="s">
        <v>68</v>
      </c>
      <c r="T737" s="33" t="s">
        <v>41</v>
      </c>
      <c r="U737" s="39">
        <v>5</v>
      </c>
      <c r="V737" s="9"/>
    </row>
    <row r="738" spans="1:22" x14ac:dyDescent="0.35">
      <c r="A738" s="17" t="s">
        <v>831</v>
      </c>
      <c r="B738" s="8">
        <v>45608</v>
      </c>
      <c r="C738" s="22" t="s">
        <v>83</v>
      </c>
      <c r="D738" s="22" t="s">
        <v>34</v>
      </c>
      <c r="E738" s="22" t="s">
        <v>35</v>
      </c>
      <c r="F738" s="27">
        <v>2024</v>
      </c>
      <c r="G738" s="22" t="s">
        <v>43</v>
      </c>
      <c r="H738" s="22" t="s">
        <v>174</v>
      </c>
      <c r="I738" s="22" t="s">
        <v>27</v>
      </c>
      <c r="J738" s="45">
        <v>12000</v>
      </c>
      <c r="K738" s="1">
        <v>1</v>
      </c>
      <c r="L738" s="2">
        <v>20</v>
      </c>
      <c r="M738" s="45">
        <v>9600</v>
      </c>
      <c r="N738" s="45">
        <v>6812</v>
      </c>
      <c r="O738" s="45">
        <v>2788</v>
      </c>
      <c r="P738" s="3">
        <v>29.04</v>
      </c>
      <c r="Q738" s="32" t="s">
        <v>51</v>
      </c>
      <c r="R738" s="32" t="s">
        <v>67</v>
      </c>
      <c r="S738" s="32" t="s">
        <v>57</v>
      </c>
      <c r="T738" s="32" t="s">
        <v>41</v>
      </c>
      <c r="U738" s="38">
        <v>4</v>
      </c>
      <c r="V738" s="9"/>
    </row>
    <row r="739" spans="1:22" x14ac:dyDescent="0.35">
      <c r="A739" s="18" t="s">
        <v>832</v>
      </c>
      <c r="B739" s="7">
        <v>45131</v>
      </c>
      <c r="C739" s="23" t="s">
        <v>53</v>
      </c>
      <c r="D739" s="23" t="s">
        <v>47</v>
      </c>
      <c r="E739" s="23" t="s">
        <v>48</v>
      </c>
      <c r="F739" s="28">
        <v>2024</v>
      </c>
      <c r="G739" s="23" t="s">
        <v>61</v>
      </c>
      <c r="H739" s="23" t="s">
        <v>80</v>
      </c>
      <c r="I739" s="23" t="s">
        <v>55</v>
      </c>
      <c r="J739" s="46">
        <v>25000</v>
      </c>
      <c r="K739" s="4">
        <v>4</v>
      </c>
      <c r="L739" s="5">
        <v>0</v>
      </c>
      <c r="M739" s="46">
        <v>100000</v>
      </c>
      <c r="N739" s="46">
        <v>59725</v>
      </c>
      <c r="O739" s="46">
        <v>40275</v>
      </c>
      <c r="P739" s="6">
        <v>40.270000000000003</v>
      </c>
      <c r="Q739" s="33" t="s">
        <v>51</v>
      </c>
      <c r="R739" s="33" t="s">
        <v>29</v>
      </c>
      <c r="S739" s="33" t="s">
        <v>40</v>
      </c>
      <c r="T739" s="33" t="s">
        <v>31</v>
      </c>
      <c r="U739" s="39">
        <v>4</v>
      </c>
      <c r="V739" s="9"/>
    </row>
    <row r="740" spans="1:22" x14ac:dyDescent="0.35">
      <c r="A740" s="17" t="s">
        <v>833</v>
      </c>
      <c r="B740" s="8">
        <v>45209</v>
      </c>
      <c r="C740" s="22" t="s">
        <v>22</v>
      </c>
      <c r="D740" s="22" t="s">
        <v>71</v>
      </c>
      <c r="E740" s="22" t="s">
        <v>72</v>
      </c>
      <c r="F740" s="27">
        <v>2023</v>
      </c>
      <c r="G740" s="22" t="s">
        <v>36</v>
      </c>
      <c r="H740" s="22" t="s">
        <v>117</v>
      </c>
      <c r="I740" s="22" t="s">
        <v>50</v>
      </c>
      <c r="J740" s="45">
        <v>8000</v>
      </c>
      <c r="K740" s="1">
        <v>10</v>
      </c>
      <c r="L740" s="2">
        <v>20</v>
      </c>
      <c r="M740" s="45">
        <v>64000</v>
      </c>
      <c r="N740" s="45">
        <v>35476</v>
      </c>
      <c r="O740" s="45">
        <v>28524</v>
      </c>
      <c r="P740" s="3">
        <v>44.57</v>
      </c>
      <c r="Q740" s="32" t="s">
        <v>39</v>
      </c>
      <c r="R740" s="32" t="s">
        <v>67</v>
      </c>
      <c r="S740" s="32" t="s">
        <v>30</v>
      </c>
      <c r="T740" s="32" t="s">
        <v>31</v>
      </c>
      <c r="U740" s="38">
        <v>2</v>
      </c>
      <c r="V740" s="9"/>
    </row>
    <row r="741" spans="1:22" x14ac:dyDescent="0.35">
      <c r="A741" s="18" t="s">
        <v>834</v>
      </c>
      <c r="B741" s="7">
        <v>45563</v>
      </c>
      <c r="C741" s="23" t="s">
        <v>90</v>
      </c>
      <c r="D741" s="23" t="s">
        <v>97</v>
      </c>
      <c r="E741" s="23" t="s">
        <v>24</v>
      </c>
      <c r="F741" s="28">
        <v>2023</v>
      </c>
      <c r="G741" s="23" t="s">
        <v>61</v>
      </c>
      <c r="H741" s="23" t="s">
        <v>117</v>
      </c>
      <c r="I741" s="23" t="s">
        <v>50</v>
      </c>
      <c r="J741" s="46">
        <v>8000</v>
      </c>
      <c r="K741" s="4">
        <v>2</v>
      </c>
      <c r="L741" s="5">
        <v>0</v>
      </c>
      <c r="M741" s="46">
        <v>16000</v>
      </c>
      <c r="N741" s="46">
        <v>10106</v>
      </c>
      <c r="O741" s="46">
        <v>5894</v>
      </c>
      <c r="P741" s="6">
        <v>36.840000000000003</v>
      </c>
      <c r="Q741" s="33" t="s">
        <v>28</v>
      </c>
      <c r="R741" s="33" t="s">
        <v>29</v>
      </c>
      <c r="S741" s="33" t="s">
        <v>57</v>
      </c>
      <c r="T741" s="33" t="s">
        <v>31</v>
      </c>
      <c r="U741" s="39">
        <v>1</v>
      </c>
      <c r="V741" s="9"/>
    </row>
    <row r="742" spans="1:22" x14ac:dyDescent="0.35">
      <c r="A742" s="17" t="s">
        <v>835</v>
      </c>
      <c r="B742" s="8">
        <v>45230</v>
      </c>
      <c r="C742" s="22" t="s">
        <v>90</v>
      </c>
      <c r="D742" s="22" t="s">
        <v>34</v>
      </c>
      <c r="E742" s="22" t="s">
        <v>35</v>
      </c>
      <c r="F742" s="27">
        <v>2024</v>
      </c>
      <c r="G742" s="22" t="s">
        <v>25</v>
      </c>
      <c r="H742" s="22" t="s">
        <v>123</v>
      </c>
      <c r="I742" s="22" t="s">
        <v>38</v>
      </c>
      <c r="J742" s="45">
        <v>14000</v>
      </c>
      <c r="K742" s="1">
        <v>1</v>
      </c>
      <c r="L742" s="2">
        <v>20</v>
      </c>
      <c r="M742" s="45">
        <v>11200</v>
      </c>
      <c r="N742" s="45">
        <v>6795</v>
      </c>
      <c r="O742" s="45">
        <v>4405</v>
      </c>
      <c r="P742" s="3">
        <v>39.33</v>
      </c>
      <c r="Q742" s="32" t="s">
        <v>39</v>
      </c>
      <c r="R742" s="32" t="s">
        <v>76</v>
      </c>
      <c r="S742" s="32" t="s">
        <v>85</v>
      </c>
      <c r="T742" s="32" t="s">
        <v>31</v>
      </c>
      <c r="U742" s="38">
        <v>4</v>
      </c>
      <c r="V742" s="9"/>
    </row>
    <row r="743" spans="1:22" x14ac:dyDescent="0.35">
      <c r="A743" s="18" t="s">
        <v>836</v>
      </c>
      <c r="B743" s="7">
        <v>45421</v>
      </c>
      <c r="C743" s="23" t="s">
        <v>33</v>
      </c>
      <c r="D743" s="23" t="s">
        <v>108</v>
      </c>
      <c r="E743" s="23" t="s">
        <v>72</v>
      </c>
      <c r="F743" s="28">
        <v>2024</v>
      </c>
      <c r="G743" s="23" t="s">
        <v>25</v>
      </c>
      <c r="H743" s="23" t="s">
        <v>26</v>
      </c>
      <c r="I743" s="23" t="s">
        <v>27</v>
      </c>
      <c r="J743" s="46">
        <v>5000</v>
      </c>
      <c r="K743" s="4">
        <v>1</v>
      </c>
      <c r="L743" s="5">
        <v>0</v>
      </c>
      <c r="M743" s="46">
        <v>5000</v>
      </c>
      <c r="N743" s="46">
        <v>3071</v>
      </c>
      <c r="O743" s="46">
        <v>1929</v>
      </c>
      <c r="P743" s="6">
        <v>38.58</v>
      </c>
      <c r="Q743" s="33" t="s">
        <v>28</v>
      </c>
      <c r="R743" s="33" t="s">
        <v>56</v>
      </c>
      <c r="S743" s="33" t="s">
        <v>30</v>
      </c>
      <c r="T743" s="33" t="s">
        <v>31</v>
      </c>
      <c r="U743" s="39">
        <v>3</v>
      </c>
      <c r="V743" s="9"/>
    </row>
    <row r="744" spans="1:22" x14ac:dyDescent="0.35">
      <c r="A744" s="17" t="s">
        <v>837</v>
      </c>
      <c r="B744" s="8">
        <v>44942</v>
      </c>
      <c r="C744" s="22" t="s">
        <v>83</v>
      </c>
      <c r="D744" s="22" t="s">
        <v>79</v>
      </c>
      <c r="E744" s="22" t="s">
        <v>72</v>
      </c>
      <c r="F744" s="27">
        <v>2024</v>
      </c>
      <c r="G744" s="22" t="s">
        <v>25</v>
      </c>
      <c r="H744" s="22" t="s">
        <v>93</v>
      </c>
      <c r="I744" s="22" t="s">
        <v>63</v>
      </c>
      <c r="J744" s="45">
        <v>14000</v>
      </c>
      <c r="K744" s="1">
        <v>2</v>
      </c>
      <c r="L744" s="2">
        <v>15</v>
      </c>
      <c r="M744" s="45">
        <v>23800</v>
      </c>
      <c r="N744" s="45">
        <v>13316</v>
      </c>
      <c r="O744" s="45">
        <v>10484</v>
      </c>
      <c r="P744" s="3">
        <v>44.05</v>
      </c>
      <c r="Q744" s="32" t="s">
        <v>28</v>
      </c>
      <c r="R744" s="32" t="s">
        <v>45</v>
      </c>
      <c r="S744" s="32" t="s">
        <v>40</v>
      </c>
      <c r="T744" s="32" t="s">
        <v>31</v>
      </c>
      <c r="U744" s="38">
        <v>5</v>
      </c>
      <c r="V744" s="9"/>
    </row>
    <row r="745" spans="1:22" x14ac:dyDescent="0.35">
      <c r="A745" s="18" t="s">
        <v>838</v>
      </c>
      <c r="B745" s="7">
        <v>45410</v>
      </c>
      <c r="C745" s="23" t="s">
        <v>70</v>
      </c>
      <c r="D745" s="23" t="s">
        <v>74</v>
      </c>
      <c r="E745" s="23" t="s">
        <v>48</v>
      </c>
      <c r="F745" s="28">
        <v>2024</v>
      </c>
      <c r="G745" s="23" t="s">
        <v>43</v>
      </c>
      <c r="H745" s="23" t="s">
        <v>66</v>
      </c>
      <c r="I745" s="23" t="s">
        <v>38</v>
      </c>
      <c r="J745" s="46">
        <v>11000</v>
      </c>
      <c r="K745" s="4">
        <v>10</v>
      </c>
      <c r="L745" s="5">
        <v>0</v>
      </c>
      <c r="M745" s="46">
        <v>110000</v>
      </c>
      <c r="N745" s="46">
        <v>68979</v>
      </c>
      <c r="O745" s="46">
        <v>41021</v>
      </c>
      <c r="P745" s="6">
        <v>37.29</v>
      </c>
      <c r="Q745" s="33" t="s">
        <v>51</v>
      </c>
      <c r="R745" s="33" t="s">
        <v>67</v>
      </c>
      <c r="S745" s="33" t="s">
        <v>85</v>
      </c>
      <c r="T745" s="33" t="s">
        <v>41</v>
      </c>
      <c r="U745" s="39">
        <v>1</v>
      </c>
      <c r="V745" s="9"/>
    </row>
    <row r="746" spans="1:22" x14ac:dyDescent="0.35">
      <c r="A746" s="17" t="s">
        <v>839</v>
      </c>
      <c r="B746" s="8">
        <v>45071</v>
      </c>
      <c r="C746" s="22" t="s">
        <v>83</v>
      </c>
      <c r="D746" s="22" t="s">
        <v>34</v>
      </c>
      <c r="E746" s="22" t="s">
        <v>35</v>
      </c>
      <c r="F746" s="27">
        <v>2024</v>
      </c>
      <c r="G746" s="22" t="s">
        <v>36</v>
      </c>
      <c r="H746" s="22" t="s">
        <v>54</v>
      </c>
      <c r="I746" s="22" t="s">
        <v>55</v>
      </c>
      <c r="J746" s="45">
        <v>18000</v>
      </c>
      <c r="K746" s="1">
        <v>10</v>
      </c>
      <c r="L746" s="2">
        <v>0</v>
      </c>
      <c r="M746" s="45">
        <v>180000</v>
      </c>
      <c r="N746" s="45">
        <v>102305</v>
      </c>
      <c r="O746" s="45">
        <v>77695</v>
      </c>
      <c r="P746" s="3">
        <v>43.16</v>
      </c>
      <c r="Q746" s="32" t="s">
        <v>28</v>
      </c>
      <c r="R746" s="32" t="s">
        <v>29</v>
      </c>
      <c r="S746" s="32" t="s">
        <v>30</v>
      </c>
      <c r="T746" s="32" t="s">
        <v>31</v>
      </c>
      <c r="U746" s="38">
        <v>5</v>
      </c>
      <c r="V746" s="9"/>
    </row>
    <row r="747" spans="1:22" x14ac:dyDescent="0.35">
      <c r="A747" s="18" t="s">
        <v>840</v>
      </c>
      <c r="B747" s="7">
        <v>45614</v>
      </c>
      <c r="C747" s="23" t="s">
        <v>22</v>
      </c>
      <c r="D747" s="23" t="s">
        <v>79</v>
      </c>
      <c r="E747" s="23" t="s">
        <v>72</v>
      </c>
      <c r="F747" s="28">
        <v>2023</v>
      </c>
      <c r="G747" s="23" t="s">
        <v>43</v>
      </c>
      <c r="H747" s="23" t="s">
        <v>59</v>
      </c>
      <c r="I747" s="23" t="s">
        <v>50</v>
      </c>
      <c r="J747" s="46">
        <v>22000</v>
      </c>
      <c r="K747" s="4">
        <v>8</v>
      </c>
      <c r="L747" s="5">
        <v>15</v>
      </c>
      <c r="M747" s="46">
        <v>149600</v>
      </c>
      <c r="N747" s="46">
        <v>98069</v>
      </c>
      <c r="O747" s="46">
        <v>51531</v>
      </c>
      <c r="P747" s="6">
        <v>34.450000000000003</v>
      </c>
      <c r="Q747" s="33" t="s">
        <v>39</v>
      </c>
      <c r="R747" s="33" t="s">
        <v>56</v>
      </c>
      <c r="S747" s="33" t="s">
        <v>68</v>
      </c>
      <c r="T747" s="33" t="s">
        <v>31</v>
      </c>
      <c r="U747" s="39">
        <v>2</v>
      </c>
      <c r="V747" s="9"/>
    </row>
    <row r="748" spans="1:22" x14ac:dyDescent="0.35">
      <c r="A748" s="17" t="s">
        <v>841</v>
      </c>
      <c r="B748" s="8">
        <v>45634</v>
      </c>
      <c r="C748" s="22" t="s">
        <v>33</v>
      </c>
      <c r="D748" s="22" t="s">
        <v>110</v>
      </c>
      <c r="E748" s="22" t="s">
        <v>24</v>
      </c>
      <c r="F748" s="27">
        <v>2023</v>
      </c>
      <c r="G748" s="22" t="s">
        <v>36</v>
      </c>
      <c r="H748" s="22" t="s">
        <v>126</v>
      </c>
      <c r="I748" s="22" t="s">
        <v>55</v>
      </c>
      <c r="J748" s="45">
        <v>12000</v>
      </c>
      <c r="K748" s="1">
        <v>9</v>
      </c>
      <c r="L748" s="2">
        <v>15</v>
      </c>
      <c r="M748" s="45">
        <v>91800</v>
      </c>
      <c r="N748" s="45">
        <v>62263</v>
      </c>
      <c r="O748" s="45">
        <v>29537</v>
      </c>
      <c r="P748" s="3">
        <v>32.18</v>
      </c>
      <c r="Q748" s="32" t="s">
        <v>81</v>
      </c>
      <c r="R748" s="32" t="s">
        <v>29</v>
      </c>
      <c r="S748" s="32" t="s">
        <v>85</v>
      </c>
      <c r="T748" s="32" t="s">
        <v>31</v>
      </c>
      <c r="U748" s="38">
        <v>4</v>
      </c>
      <c r="V748" s="9"/>
    </row>
    <row r="749" spans="1:22" x14ac:dyDescent="0.35">
      <c r="A749" s="18" t="s">
        <v>842</v>
      </c>
      <c r="B749" s="7">
        <v>45210</v>
      </c>
      <c r="C749" s="23" t="s">
        <v>90</v>
      </c>
      <c r="D749" s="23" t="s">
        <v>110</v>
      </c>
      <c r="E749" s="23" t="s">
        <v>24</v>
      </c>
      <c r="F749" s="28">
        <v>2023</v>
      </c>
      <c r="G749" s="23" t="s">
        <v>43</v>
      </c>
      <c r="H749" s="23" t="s">
        <v>54</v>
      </c>
      <c r="I749" s="23" t="s">
        <v>55</v>
      </c>
      <c r="J749" s="46">
        <v>18000</v>
      </c>
      <c r="K749" s="4">
        <v>5</v>
      </c>
      <c r="L749" s="5">
        <v>0</v>
      </c>
      <c r="M749" s="46">
        <v>90000</v>
      </c>
      <c r="N749" s="46">
        <v>64345</v>
      </c>
      <c r="O749" s="46">
        <v>25655</v>
      </c>
      <c r="P749" s="6">
        <v>28.51</v>
      </c>
      <c r="Q749" s="33" t="s">
        <v>75</v>
      </c>
      <c r="R749" s="33" t="s">
        <v>29</v>
      </c>
      <c r="S749" s="33" t="s">
        <v>68</v>
      </c>
      <c r="T749" s="33" t="s">
        <v>31</v>
      </c>
      <c r="U749" s="39">
        <v>5</v>
      </c>
      <c r="V749" s="9"/>
    </row>
    <row r="750" spans="1:22" x14ac:dyDescent="0.35">
      <c r="A750" s="17" t="s">
        <v>843</v>
      </c>
      <c r="B750" s="8">
        <v>45506</v>
      </c>
      <c r="C750" s="22" t="s">
        <v>78</v>
      </c>
      <c r="D750" s="22" t="s">
        <v>71</v>
      </c>
      <c r="E750" s="22" t="s">
        <v>72</v>
      </c>
      <c r="F750" s="27">
        <v>2024</v>
      </c>
      <c r="G750" s="22" t="s">
        <v>36</v>
      </c>
      <c r="H750" s="22" t="s">
        <v>174</v>
      </c>
      <c r="I750" s="22" t="s">
        <v>27</v>
      </c>
      <c r="J750" s="45">
        <v>12000</v>
      </c>
      <c r="K750" s="1">
        <v>6</v>
      </c>
      <c r="L750" s="2">
        <v>0</v>
      </c>
      <c r="M750" s="45">
        <v>72000</v>
      </c>
      <c r="N750" s="45">
        <v>51552</v>
      </c>
      <c r="O750" s="45">
        <v>20448</v>
      </c>
      <c r="P750" s="3">
        <v>28.4</v>
      </c>
      <c r="Q750" s="32" t="s">
        <v>39</v>
      </c>
      <c r="R750" s="32" t="s">
        <v>76</v>
      </c>
      <c r="S750" s="32" t="s">
        <v>57</v>
      </c>
      <c r="T750" s="32" t="s">
        <v>41</v>
      </c>
      <c r="U750" s="38">
        <v>4</v>
      </c>
      <c r="V750" s="9"/>
    </row>
    <row r="751" spans="1:22" x14ac:dyDescent="0.35">
      <c r="A751" s="18" t="s">
        <v>844</v>
      </c>
      <c r="B751" s="7">
        <v>45061</v>
      </c>
      <c r="C751" s="23" t="s">
        <v>78</v>
      </c>
      <c r="D751" s="23" t="s">
        <v>79</v>
      </c>
      <c r="E751" s="23" t="s">
        <v>72</v>
      </c>
      <c r="F751" s="28">
        <v>2024</v>
      </c>
      <c r="G751" s="23" t="s">
        <v>43</v>
      </c>
      <c r="H751" s="23" t="s">
        <v>49</v>
      </c>
      <c r="I751" s="23" t="s">
        <v>50</v>
      </c>
      <c r="J751" s="46">
        <v>18000</v>
      </c>
      <c r="K751" s="4">
        <v>10</v>
      </c>
      <c r="L751" s="5">
        <v>0</v>
      </c>
      <c r="M751" s="46">
        <v>180000</v>
      </c>
      <c r="N751" s="46">
        <v>117853</v>
      </c>
      <c r="O751" s="46">
        <v>62147</v>
      </c>
      <c r="P751" s="6">
        <v>34.53</v>
      </c>
      <c r="Q751" s="33" t="s">
        <v>51</v>
      </c>
      <c r="R751" s="33" t="s">
        <v>45</v>
      </c>
      <c r="S751" s="33" t="s">
        <v>68</v>
      </c>
      <c r="T751" s="33" t="s">
        <v>41</v>
      </c>
      <c r="U751" s="39">
        <v>1</v>
      </c>
      <c r="V751" s="9"/>
    </row>
    <row r="752" spans="1:22" x14ac:dyDescent="0.35">
      <c r="A752" s="17" t="s">
        <v>845</v>
      </c>
      <c r="B752" s="8">
        <v>45259</v>
      </c>
      <c r="C752" s="22" t="s">
        <v>22</v>
      </c>
      <c r="D752" s="22" t="s">
        <v>116</v>
      </c>
      <c r="E752" s="22" t="s">
        <v>35</v>
      </c>
      <c r="F752" s="27">
        <v>2024</v>
      </c>
      <c r="G752" s="22" t="s">
        <v>25</v>
      </c>
      <c r="H752" s="22" t="s">
        <v>106</v>
      </c>
      <c r="I752" s="22" t="s">
        <v>38</v>
      </c>
      <c r="J752" s="45">
        <v>12000</v>
      </c>
      <c r="K752" s="1">
        <v>4</v>
      </c>
      <c r="L752" s="2">
        <v>15</v>
      </c>
      <c r="M752" s="45">
        <v>40800</v>
      </c>
      <c r="N752" s="45">
        <v>24037</v>
      </c>
      <c r="O752" s="45">
        <v>16763</v>
      </c>
      <c r="P752" s="3">
        <v>41.09</v>
      </c>
      <c r="Q752" s="32" t="s">
        <v>75</v>
      </c>
      <c r="R752" s="32" t="s">
        <v>56</v>
      </c>
      <c r="S752" s="32" t="s">
        <v>68</v>
      </c>
      <c r="T752" s="32" t="s">
        <v>41</v>
      </c>
      <c r="U752" s="38">
        <v>4</v>
      </c>
      <c r="V752" s="9"/>
    </row>
    <row r="753" spans="1:22" x14ac:dyDescent="0.35">
      <c r="A753" s="18" t="s">
        <v>846</v>
      </c>
      <c r="B753" s="7">
        <v>45298</v>
      </c>
      <c r="C753" s="23" t="s">
        <v>70</v>
      </c>
      <c r="D753" s="23" t="s">
        <v>71</v>
      </c>
      <c r="E753" s="23" t="s">
        <v>72</v>
      </c>
      <c r="F753" s="28">
        <v>2023</v>
      </c>
      <c r="G753" s="23" t="s">
        <v>43</v>
      </c>
      <c r="H753" s="23" t="s">
        <v>131</v>
      </c>
      <c r="I753" s="23" t="s">
        <v>63</v>
      </c>
      <c r="J753" s="46">
        <v>10000</v>
      </c>
      <c r="K753" s="4">
        <v>1</v>
      </c>
      <c r="L753" s="5">
        <v>0</v>
      </c>
      <c r="M753" s="46">
        <v>10000</v>
      </c>
      <c r="N753" s="46">
        <v>5517</v>
      </c>
      <c r="O753" s="46">
        <v>4483</v>
      </c>
      <c r="P753" s="6">
        <v>44.83</v>
      </c>
      <c r="Q753" s="33" t="s">
        <v>81</v>
      </c>
      <c r="R753" s="33" t="s">
        <v>76</v>
      </c>
      <c r="S753" s="33" t="s">
        <v>85</v>
      </c>
      <c r="T753" s="33" t="s">
        <v>31</v>
      </c>
      <c r="U753" s="39">
        <v>3</v>
      </c>
      <c r="V753" s="9"/>
    </row>
    <row r="754" spans="1:22" x14ac:dyDescent="0.35">
      <c r="A754" s="17" t="s">
        <v>847</v>
      </c>
      <c r="B754" s="8">
        <v>44990</v>
      </c>
      <c r="C754" s="22" t="s">
        <v>83</v>
      </c>
      <c r="D754" s="22" t="s">
        <v>65</v>
      </c>
      <c r="E754" s="22" t="s">
        <v>48</v>
      </c>
      <c r="F754" s="27">
        <v>2024</v>
      </c>
      <c r="G754" s="22" t="s">
        <v>36</v>
      </c>
      <c r="H754" s="22" t="s">
        <v>66</v>
      </c>
      <c r="I754" s="22" t="s">
        <v>38</v>
      </c>
      <c r="J754" s="45">
        <v>11000</v>
      </c>
      <c r="K754" s="1">
        <v>6</v>
      </c>
      <c r="L754" s="2">
        <v>0</v>
      </c>
      <c r="M754" s="45">
        <v>66000</v>
      </c>
      <c r="N754" s="45">
        <v>47243</v>
      </c>
      <c r="O754" s="45">
        <v>18757</v>
      </c>
      <c r="P754" s="3">
        <v>28.42</v>
      </c>
      <c r="Q754" s="32" t="s">
        <v>39</v>
      </c>
      <c r="R754" s="32" t="s">
        <v>56</v>
      </c>
      <c r="S754" s="32" t="s">
        <v>57</v>
      </c>
      <c r="T754" s="32" t="s">
        <v>31</v>
      </c>
      <c r="U754" s="38">
        <v>3</v>
      </c>
      <c r="V754" s="9"/>
    </row>
    <row r="755" spans="1:22" x14ac:dyDescent="0.35">
      <c r="A755" s="18" t="s">
        <v>848</v>
      </c>
      <c r="B755" s="7">
        <v>45057</v>
      </c>
      <c r="C755" s="23" t="s">
        <v>22</v>
      </c>
      <c r="D755" s="23" t="s">
        <v>87</v>
      </c>
      <c r="E755" s="23" t="s">
        <v>35</v>
      </c>
      <c r="F755" s="28">
        <v>2023</v>
      </c>
      <c r="G755" s="23" t="s">
        <v>43</v>
      </c>
      <c r="H755" s="23" t="s">
        <v>49</v>
      </c>
      <c r="I755" s="23" t="s">
        <v>50</v>
      </c>
      <c r="J755" s="46">
        <v>18000</v>
      </c>
      <c r="K755" s="4">
        <v>4</v>
      </c>
      <c r="L755" s="5">
        <v>0</v>
      </c>
      <c r="M755" s="46">
        <v>72000</v>
      </c>
      <c r="N755" s="46">
        <v>41999</v>
      </c>
      <c r="O755" s="46">
        <v>30001</v>
      </c>
      <c r="P755" s="6">
        <v>41.67</v>
      </c>
      <c r="Q755" s="33" t="s">
        <v>39</v>
      </c>
      <c r="R755" s="33" t="s">
        <v>45</v>
      </c>
      <c r="S755" s="33" t="s">
        <v>30</v>
      </c>
      <c r="T755" s="33" t="s">
        <v>31</v>
      </c>
      <c r="U755" s="39">
        <v>4</v>
      </c>
      <c r="V755" s="9"/>
    </row>
    <row r="756" spans="1:22" x14ac:dyDescent="0.35">
      <c r="A756" s="17" t="s">
        <v>849</v>
      </c>
      <c r="B756" s="8">
        <v>45547</v>
      </c>
      <c r="C756" s="22" t="s">
        <v>78</v>
      </c>
      <c r="D756" s="22" t="s">
        <v>110</v>
      </c>
      <c r="E756" s="22" t="s">
        <v>24</v>
      </c>
      <c r="F756" s="27">
        <v>2024</v>
      </c>
      <c r="G756" s="22" t="s">
        <v>25</v>
      </c>
      <c r="H756" s="22" t="s">
        <v>84</v>
      </c>
      <c r="I756" s="22" t="s">
        <v>27</v>
      </c>
      <c r="J756" s="45">
        <v>8000</v>
      </c>
      <c r="K756" s="1">
        <v>4</v>
      </c>
      <c r="L756" s="2">
        <v>0</v>
      </c>
      <c r="M756" s="45">
        <v>32000</v>
      </c>
      <c r="N756" s="45">
        <v>20082</v>
      </c>
      <c r="O756" s="45">
        <v>11918</v>
      </c>
      <c r="P756" s="3">
        <v>37.24</v>
      </c>
      <c r="Q756" s="32" t="s">
        <v>81</v>
      </c>
      <c r="R756" s="32" t="s">
        <v>45</v>
      </c>
      <c r="S756" s="32" t="s">
        <v>68</v>
      </c>
      <c r="T756" s="32" t="s">
        <v>31</v>
      </c>
      <c r="U756" s="38">
        <v>1</v>
      </c>
      <c r="V756" s="9"/>
    </row>
    <row r="757" spans="1:22" x14ac:dyDescent="0.35">
      <c r="A757" s="18" t="s">
        <v>850</v>
      </c>
      <c r="B757" s="7">
        <v>45275</v>
      </c>
      <c r="C757" s="23" t="s">
        <v>70</v>
      </c>
      <c r="D757" s="23" t="s">
        <v>116</v>
      </c>
      <c r="E757" s="23" t="s">
        <v>35</v>
      </c>
      <c r="F757" s="28">
        <v>2023</v>
      </c>
      <c r="G757" s="23" t="s">
        <v>25</v>
      </c>
      <c r="H757" s="23" t="s">
        <v>37</v>
      </c>
      <c r="I757" s="23" t="s">
        <v>38</v>
      </c>
      <c r="J757" s="46">
        <v>10000</v>
      </c>
      <c r="K757" s="4">
        <v>4</v>
      </c>
      <c r="L757" s="5">
        <v>10</v>
      </c>
      <c r="M757" s="46">
        <v>36000</v>
      </c>
      <c r="N757" s="46">
        <v>22115</v>
      </c>
      <c r="O757" s="46">
        <v>13885</v>
      </c>
      <c r="P757" s="6">
        <v>38.57</v>
      </c>
      <c r="Q757" s="33" t="s">
        <v>81</v>
      </c>
      <c r="R757" s="33" t="s">
        <v>45</v>
      </c>
      <c r="S757" s="33" t="s">
        <v>85</v>
      </c>
      <c r="T757" s="33" t="s">
        <v>31</v>
      </c>
      <c r="U757" s="39">
        <v>1</v>
      </c>
      <c r="V757" s="9"/>
    </row>
    <row r="758" spans="1:22" x14ac:dyDescent="0.35">
      <c r="A758" s="17" t="s">
        <v>851</v>
      </c>
      <c r="B758" s="8">
        <v>44996</v>
      </c>
      <c r="C758" s="22" t="s">
        <v>70</v>
      </c>
      <c r="D758" s="22" t="s">
        <v>79</v>
      </c>
      <c r="E758" s="22" t="s">
        <v>72</v>
      </c>
      <c r="F758" s="27">
        <v>2024</v>
      </c>
      <c r="G758" s="22" t="s">
        <v>61</v>
      </c>
      <c r="H758" s="22" t="s">
        <v>186</v>
      </c>
      <c r="I758" s="22" t="s">
        <v>55</v>
      </c>
      <c r="J758" s="45">
        <v>20000</v>
      </c>
      <c r="K758" s="1">
        <v>9</v>
      </c>
      <c r="L758" s="2">
        <v>0</v>
      </c>
      <c r="M758" s="45">
        <v>180000</v>
      </c>
      <c r="N758" s="45">
        <v>123161</v>
      </c>
      <c r="O758" s="45">
        <v>56839</v>
      </c>
      <c r="P758" s="3">
        <v>31.58</v>
      </c>
      <c r="Q758" s="32" t="s">
        <v>81</v>
      </c>
      <c r="R758" s="32" t="s">
        <v>56</v>
      </c>
      <c r="S758" s="32" t="s">
        <v>30</v>
      </c>
      <c r="T758" s="32" t="s">
        <v>31</v>
      </c>
      <c r="U758" s="38">
        <v>5</v>
      </c>
      <c r="V758" s="9"/>
    </row>
    <row r="759" spans="1:22" x14ac:dyDescent="0.35">
      <c r="A759" s="18" t="s">
        <v>852</v>
      </c>
      <c r="B759" s="7">
        <v>45348</v>
      </c>
      <c r="C759" s="23" t="s">
        <v>22</v>
      </c>
      <c r="D759" s="23" t="s">
        <v>108</v>
      </c>
      <c r="E759" s="23" t="s">
        <v>72</v>
      </c>
      <c r="F759" s="28">
        <v>2024</v>
      </c>
      <c r="G759" s="23" t="s">
        <v>25</v>
      </c>
      <c r="H759" s="23" t="s">
        <v>131</v>
      </c>
      <c r="I759" s="23" t="s">
        <v>63</v>
      </c>
      <c r="J759" s="46">
        <v>10000</v>
      </c>
      <c r="K759" s="4">
        <v>2</v>
      </c>
      <c r="L759" s="5">
        <v>20</v>
      </c>
      <c r="M759" s="46">
        <v>16000</v>
      </c>
      <c r="N759" s="46">
        <v>10080</v>
      </c>
      <c r="O759" s="46">
        <v>5920</v>
      </c>
      <c r="P759" s="6">
        <v>37</v>
      </c>
      <c r="Q759" s="33" t="s">
        <v>75</v>
      </c>
      <c r="R759" s="33" t="s">
        <v>76</v>
      </c>
      <c r="S759" s="33" t="s">
        <v>68</v>
      </c>
      <c r="T759" s="33" t="s">
        <v>41</v>
      </c>
      <c r="U759" s="39">
        <v>4</v>
      </c>
      <c r="V759" s="9"/>
    </row>
    <row r="760" spans="1:22" x14ac:dyDescent="0.35">
      <c r="A760" s="17" t="s">
        <v>853</v>
      </c>
      <c r="B760" s="8">
        <v>45157</v>
      </c>
      <c r="C760" s="22" t="s">
        <v>53</v>
      </c>
      <c r="D760" s="22" t="s">
        <v>87</v>
      </c>
      <c r="E760" s="22" t="s">
        <v>35</v>
      </c>
      <c r="F760" s="27">
        <v>2024</v>
      </c>
      <c r="G760" s="22" t="s">
        <v>61</v>
      </c>
      <c r="H760" s="22" t="s">
        <v>131</v>
      </c>
      <c r="I760" s="22" t="s">
        <v>63</v>
      </c>
      <c r="J760" s="45">
        <v>10000</v>
      </c>
      <c r="K760" s="1">
        <v>6</v>
      </c>
      <c r="L760" s="2">
        <v>15</v>
      </c>
      <c r="M760" s="45">
        <v>51000</v>
      </c>
      <c r="N760" s="45">
        <v>31292</v>
      </c>
      <c r="O760" s="45">
        <v>19708</v>
      </c>
      <c r="P760" s="3">
        <v>38.64</v>
      </c>
      <c r="Q760" s="32" t="s">
        <v>51</v>
      </c>
      <c r="R760" s="32" t="s">
        <v>67</v>
      </c>
      <c r="S760" s="32" t="s">
        <v>40</v>
      </c>
      <c r="T760" s="32" t="s">
        <v>41</v>
      </c>
      <c r="U760" s="38">
        <v>5</v>
      </c>
      <c r="V760" s="9"/>
    </row>
    <row r="761" spans="1:22" x14ac:dyDescent="0.35">
      <c r="A761" s="18" t="s">
        <v>854</v>
      </c>
      <c r="B761" s="7">
        <v>45601</v>
      </c>
      <c r="C761" s="23" t="s">
        <v>70</v>
      </c>
      <c r="D761" s="23" t="s">
        <v>23</v>
      </c>
      <c r="E761" s="23" t="s">
        <v>24</v>
      </c>
      <c r="F761" s="28">
        <v>2024</v>
      </c>
      <c r="G761" s="23" t="s">
        <v>61</v>
      </c>
      <c r="H761" s="23" t="s">
        <v>44</v>
      </c>
      <c r="I761" s="23" t="s">
        <v>27</v>
      </c>
      <c r="J761" s="46">
        <v>6000</v>
      </c>
      <c r="K761" s="4">
        <v>4</v>
      </c>
      <c r="L761" s="5">
        <v>0</v>
      </c>
      <c r="M761" s="46">
        <v>24000</v>
      </c>
      <c r="N761" s="46">
        <v>15044</v>
      </c>
      <c r="O761" s="46">
        <v>8956</v>
      </c>
      <c r="P761" s="6">
        <v>37.32</v>
      </c>
      <c r="Q761" s="33" t="s">
        <v>39</v>
      </c>
      <c r="R761" s="33" t="s">
        <v>67</v>
      </c>
      <c r="S761" s="33" t="s">
        <v>68</v>
      </c>
      <c r="T761" s="33" t="s">
        <v>41</v>
      </c>
      <c r="U761" s="39">
        <v>4</v>
      </c>
      <c r="V761" s="9"/>
    </row>
    <row r="762" spans="1:22" x14ac:dyDescent="0.35">
      <c r="A762" s="17" t="s">
        <v>855</v>
      </c>
      <c r="B762" s="8">
        <v>45507</v>
      </c>
      <c r="C762" s="22" t="s">
        <v>33</v>
      </c>
      <c r="D762" s="22" t="s">
        <v>108</v>
      </c>
      <c r="E762" s="22" t="s">
        <v>72</v>
      </c>
      <c r="F762" s="27">
        <v>2024</v>
      </c>
      <c r="G762" s="22" t="s">
        <v>61</v>
      </c>
      <c r="H762" s="22" t="s">
        <v>123</v>
      </c>
      <c r="I762" s="22" t="s">
        <v>38</v>
      </c>
      <c r="J762" s="45">
        <v>14000</v>
      </c>
      <c r="K762" s="1">
        <v>5</v>
      </c>
      <c r="L762" s="2">
        <v>10</v>
      </c>
      <c r="M762" s="45">
        <v>63000</v>
      </c>
      <c r="N762" s="45">
        <v>35558</v>
      </c>
      <c r="O762" s="45">
        <v>27442</v>
      </c>
      <c r="P762" s="3">
        <v>43.56</v>
      </c>
      <c r="Q762" s="32" t="s">
        <v>28</v>
      </c>
      <c r="R762" s="32" t="s">
        <v>45</v>
      </c>
      <c r="S762" s="32" t="s">
        <v>40</v>
      </c>
      <c r="T762" s="32" t="s">
        <v>31</v>
      </c>
      <c r="U762" s="38">
        <v>5</v>
      </c>
      <c r="V762" s="9"/>
    </row>
    <row r="763" spans="1:22" x14ac:dyDescent="0.35">
      <c r="A763" s="18" t="s">
        <v>856</v>
      </c>
      <c r="B763" s="7">
        <v>45392</v>
      </c>
      <c r="C763" s="23" t="s">
        <v>70</v>
      </c>
      <c r="D763" s="23" t="s">
        <v>74</v>
      </c>
      <c r="E763" s="23" t="s">
        <v>48</v>
      </c>
      <c r="F763" s="28">
        <v>2023</v>
      </c>
      <c r="G763" s="23" t="s">
        <v>61</v>
      </c>
      <c r="H763" s="23" t="s">
        <v>119</v>
      </c>
      <c r="I763" s="23" t="s">
        <v>63</v>
      </c>
      <c r="J763" s="46">
        <v>16000</v>
      </c>
      <c r="K763" s="4">
        <v>10</v>
      </c>
      <c r="L763" s="5">
        <v>0</v>
      </c>
      <c r="M763" s="46">
        <v>160000</v>
      </c>
      <c r="N763" s="46">
        <v>99590</v>
      </c>
      <c r="O763" s="46">
        <v>60410</v>
      </c>
      <c r="P763" s="6">
        <v>37.76</v>
      </c>
      <c r="Q763" s="33" t="s">
        <v>51</v>
      </c>
      <c r="R763" s="33" t="s">
        <v>67</v>
      </c>
      <c r="S763" s="33" t="s">
        <v>40</v>
      </c>
      <c r="T763" s="33" t="s">
        <v>41</v>
      </c>
      <c r="U763" s="39">
        <v>3</v>
      </c>
      <c r="V763" s="9"/>
    </row>
    <row r="764" spans="1:22" x14ac:dyDescent="0.35">
      <c r="A764" s="17" t="s">
        <v>857</v>
      </c>
      <c r="B764" s="8">
        <v>45560</v>
      </c>
      <c r="C764" s="22" t="s">
        <v>53</v>
      </c>
      <c r="D764" s="22" t="s">
        <v>23</v>
      </c>
      <c r="E764" s="22" t="s">
        <v>24</v>
      </c>
      <c r="F764" s="27">
        <v>2023</v>
      </c>
      <c r="G764" s="22" t="s">
        <v>61</v>
      </c>
      <c r="H764" s="22" t="s">
        <v>93</v>
      </c>
      <c r="I764" s="22" t="s">
        <v>63</v>
      </c>
      <c r="J764" s="45">
        <v>14000</v>
      </c>
      <c r="K764" s="1">
        <v>3</v>
      </c>
      <c r="L764" s="2">
        <v>5</v>
      </c>
      <c r="M764" s="45">
        <v>39900</v>
      </c>
      <c r="N764" s="45">
        <v>23531</v>
      </c>
      <c r="O764" s="45">
        <v>16369</v>
      </c>
      <c r="P764" s="3">
        <v>41.03</v>
      </c>
      <c r="Q764" s="32" t="s">
        <v>28</v>
      </c>
      <c r="R764" s="32" t="s">
        <v>45</v>
      </c>
      <c r="S764" s="32" t="s">
        <v>30</v>
      </c>
      <c r="T764" s="32" t="s">
        <v>31</v>
      </c>
      <c r="U764" s="38">
        <v>3</v>
      </c>
      <c r="V764" s="9"/>
    </row>
    <row r="765" spans="1:22" x14ac:dyDescent="0.35">
      <c r="A765" s="18" t="s">
        <v>858</v>
      </c>
      <c r="B765" s="7">
        <v>45452</v>
      </c>
      <c r="C765" s="23" t="s">
        <v>83</v>
      </c>
      <c r="D765" s="23" t="s">
        <v>108</v>
      </c>
      <c r="E765" s="23" t="s">
        <v>72</v>
      </c>
      <c r="F765" s="28">
        <v>2023</v>
      </c>
      <c r="G765" s="23" t="s">
        <v>61</v>
      </c>
      <c r="H765" s="23" t="s">
        <v>26</v>
      </c>
      <c r="I765" s="23" t="s">
        <v>27</v>
      </c>
      <c r="J765" s="46">
        <v>5000</v>
      </c>
      <c r="K765" s="4">
        <v>2</v>
      </c>
      <c r="L765" s="5">
        <v>0</v>
      </c>
      <c r="M765" s="46">
        <v>10000</v>
      </c>
      <c r="N765" s="46">
        <v>5565</v>
      </c>
      <c r="O765" s="46">
        <v>4435</v>
      </c>
      <c r="P765" s="6">
        <v>44.35</v>
      </c>
      <c r="Q765" s="33" t="s">
        <v>39</v>
      </c>
      <c r="R765" s="33" t="s">
        <v>45</v>
      </c>
      <c r="S765" s="33" t="s">
        <v>68</v>
      </c>
      <c r="T765" s="33" t="s">
        <v>41</v>
      </c>
      <c r="U765" s="39">
        <v>3</v>
      </c>
      <c r="V765" s="9"/>
    </row>
    <row r="766" spans="1:22" x14ac:dyDescent="0.35">
      <c r="A766" s="17" t="s">
        <v>859</v>
      </c>
      <c r="B766" s="8">
        <v>45332</v>
      </c>
      <c r="C766" s="22" t="s">
        <v>53</v>
      </c>
      <c r="D766" s="22" t="s">
        <v>110</v>
      </c>
      <c r="E766" s="22" t="s">
        <v>24</v>
      </c>
      <c r="F766" s="27">
        <v>2024</v>
      </c>
      <c r="G766" s="22" t="s">
        <v>61</v>
      </c>
      <c r="H766" s="22" t="s">
        <v>104</v>
      </c>
      <c r="I766" s="22" t="s">
        <v>50</v>
      </c>
      <c r="J766" s="45">
        <v>15000</v>
      </c>
      <c r="K766" s="1">
        <v>10</v>
      </c>
      <c r="L766" s="2">
        <v>0</v>
      </c>
      <c r="M766" s="45">
        <v>150000</v>
      </c>
      <c r="N766" s="45">
        <v>107959</v>
      </c>
      <c r="O766" s="45">
        <v>42041</v>
      </c>
      <c r="P766" s="3">
        <v>28.03</v>
      </c>
      <c r="Q766" s="32" t="s">
        <v>75</v>
      </c>
      <c r="R766" s="32" t="s">
        <v>45</v>
      </c>
      <c r="S766" s="32" t="s">
        <v>30</v>
      </c>
      <c r="T766" s="32" t="s">
        <v>41</v>
      </c>
      <c r="U766" s="38">
        <v>3</v>
      </c>
      <c r="V766" s="9"/>
    </row>
    <row r="767" spans="1:22" x14ac:dyDescent="0.35">
      <c r="A767" s="18" t="s">
        <v>860</v>
      </c>
      <c r="B767" s="7">
        <v>44935</v>
      </c>
      <c r="C767" s="23" t="s">
        <v>70</v>
      </c>
      <c r="D767" s="23" t="s">
        <v>74</v>
      </c>
      <c r="E767" s="23" t="s">
        <v>48</v>
      </c>
      <c r="F767" s="28">
        <v>2024</v>
      </c>
      <c r="G767" s="23" t="s">
        <v>36</v>
      </c>
      <c r="H767" s="23" t="s">
        <v>119</v>
      </c>
      <c r="I767" s="23" t="s">
        <v>63</v>
      </c>
      <c r="J767" s="46">
        <v>16000</v>
      </c>
      <c r="K767" s="4">
        <v>1</v>
      </c>
      <c r="L767" s="5">
        <v>5</v>
      </c>
      <c r="M767" s="46">
        <v>15200</v>
      </c>
      <c r="N767" s="46">
        <v>10050</v>
      </c>
      <c r="O767" s="46">
        <v>5150</v>
      </c>
      <c r="P767" s="6">
        <v>33.880000000000003</v>
      </c>
      <c r="Q767" s="33" t="s">
        <v>39</v>
      </c>
      <c r="R767" s="33" t="s">
        <v>67</v>
      </c>
      <c r="S767" s="33" t="s">
        <v>68</v>
      </c>
      <c r="T767" s="33" t="s">
        <v>31</v>
      </c>
      <c r="U767" s="39">
        <v>4</v>
      </c>
      <c r="V767" s="9"/>
    </row>
    <row r="768" spans="1:22" x14ac:dyDescent="0.35">
      <c r="A768" s="17" t="s">
        <v>861</v>
      </c>
      <c r="B768" s="8">
        <v>44971</v>
      </c>
      <c r="C768" s="22" t="s">
        <v>90</v>
      </c>
      <c r="D768" s="22" t="s">
        <v>108</v>
      </c>
      <c r="E768" s="22" t="s">
        <v>72</v>
      </c>
      <c r="F768" s="27">
        <v>2023</v>
      </c>
      <c r="G768" s="22" t="s">
        <v>61</v>
      </c>
      <c r="H768" s="22" t="s">
        <v>88</v>
      </c>
      <c r="I768" s="22" t="s">
        <v>55</v>
      </c>
      <c r="J768" s="45">
        <v>8000</v>
      </c>
      <c r="K768" s="1">
        <v>9</v>
      </c>
      <c r="L768" s="2">
        <v>20</v>
      </c>
      <c r="M768" s="45">
        <v>57600</v>
      </c>
      <c r="N768" s="45">
        <v>36270</v>
      </c>
      <c r="O768" s="45">
        <v>21330</v>
      </c>
      <c r="P768" s="3">
        <v>37.03</v>
      </c>
      <c r="Q768" s="32" t="s">
        <v>51</v>
      </c>
      <c r="R768" s="32" t="s">
        <v>45</v>
      </c>
      <c r="S768" s="32" t="s">
        <v>30</v>
      </c>
      <c r="T768" s="32" t="s">
        <v>31</v>
      </c>
      <c r="U768" s="38">
        <v>4</v>
      </c>
      <c r="V768" s="9"/>
    </row>
    <row r="769" spans="1:22" x14ac:dyDescent="0.35">
      <c r="A769" s="18" t="s">
        <v>862</v>
      </c>
      <c r="B769" s="7">
        <v>45045</v>
      </c>
      <c r="C769" s="23" t="s">
        <v>70</v>
      </c>
      <c r="D769" s="23" t="s">
        <v>97</v>
      </c>
      <c r="E769" s="23" t="s">
        <v>24</v>
      </c>
      <c r="F769" s="28">
        <v>2024</v>
      </c>
      <c r="G769" s="23" t="s">
        <v>36</v>
      </c>
      <c r="H769" s="23" t="s">
        <v>131</v>
      </c>
      <c r="I769" s="23" t="s">
        <v>63</v>
      </c>
      <c r="J769" s="46">
        <v>10000</v>
      </c>
      <c r="K769" s="4">
        <v>8</v>
      </c>
      <c r="L769" s="5">
        <v>5</v>
      </c>
      <c r="M769" s="46">
        <v>76000</v>
      </c>
      <c r="N769" s="46">
        <v>52820</v>
      </c>
      <c r="O769" s="46">
        <v>23180</v>
      </c>
      <c r="P769" s="6">
        <v>30.5</v>
      </c>
      <c r="Q769" s="33" t="s">
        <v>28</v>
      </c>
      <c r="R769" s="33" t="s">
        <v>45</v>
      </c>
      <c r="S769" s="33" t="s">
        <v>68</v>
      </c>
      <c r="T769" s="33" t="s">
        <v>41</v>
      </c>
      <c r="U769" s="39">
        <v>1</v>
      </c>
      <c r="V769" s="9"/>
    </row>
    <row r="770" spans="1:22" x14ac:dyDescent="0.35">
      <c r="A770" s="17" t="s">
        <v>863</v>
      </c>
      <c r="B770" s="8">
        <v>45177</v>
      </c>
      <c r="C770" s="22" t="s">
        <v>70</v>
      </c>
      <c r="D770" s="22" t="s">
        <v>116</v>
      </c>
      <c r="E770" s="22" t="s">
        <v>35</v>
      </c>
      <c r="F770" s="27">
        <v>2024</v>
      </c>
      <c r="G770" s="22" t="s">
        <v>61</v>
      </c>
      <c r="H770" s="22" t="s">
        <v>145</v>
      </c>
      <c r="I770" s="22" t="s">
        <v>50</v>
      </c>
      <c r="J770" s="45">
        <v>12000</v>
      </c>
      <c r="K770" s="1">
        <v>4</v>
      </c>
      <c r="L770" s="2">
        <v>5</v>
      </c>
      <c r="M770" s="45">
        <v>45600</v>
      </c>
      <c r="N770" s="45">
        <v>28380</v>
      </c>
      <c r="O770" s="45">
        <v>17220</v>
      </c>
      <c r="P770" s="3">
        <v>37.76</v>
      </c>
      <c r="Q770" s="32" t="s">
        <v>51</v>
      </c>
      <c r="R770" s="32" t="s">
        <v>29</v>
      </c>
      <c r="S770" s="32" t="s">
        <v>57</v>
      </c>
      <c r="T770" s="32" t="s">
        <v>31</v>
      </c>
      <c r="U770" s="38">
        <v>5</v>
      </c>
      <c r="V770" s="9"/>
    </row>
    <row r="771" spans="1:22" x14ac:dyDescent="0.35">
      <c r="A771" s="18" t="s">
        <v>864</v>
      </c>
      <c r="B771" s="7">
        <v>45450</v>
      </c>
      <c r="C771" s="23" t="s">
        <v>33</v>
      </c>
      <c r="D771" s="23" t="s">
        <v>74</v>
      </c>
      <c r="E771" s="23" t="s">
        <v>48</v>
      </c>
      <c r="F771" s="28">
        <v>2023</v>
      </c>
      <c r="G771" s="23" t="s">
        <v>25</v>
      </c>
      <c r="H771" s="23" t="s">
        <v>37</v>
      </c>
      <c r="I771" s="23" t="s">
        <v>38</v>
      </c>
      <c r="J771" s="46">
        <v>10000</v>
      </c>
      <c r="K771" s="4">
        <v>6</v>
      </c>
      <c r="L771" s="5">
        <v>10</v>
      </c>
      <c r="M771" s="46">
        <v>54000</v>
      </c>
      <c r="N771" s="46">
        <v>35482</v>
      </c>
      <c r="O771" s="46">
        <v>18518</v>
      </c>
      <c r="P771" s="6">
        <v>34.29</v>
      </c>
      <c r="Q771" s="33" t="s">
        <v>75</v>
      </c>
      <c r="R771" s="33" t="s">
        <v>29</v>
      </c>
      <c r="S771" s="33" t="s">
        <v>85</v>
      </c>
      <c r="T771" s="33" t="s">
        <v>41</v>
      </c>
      <c r="U771" s="39">
        <v>2</v>
      </c>
      <c r="V771" s="9"/>
    </row>
    <row r="772" spans="1:22" x14ac:dyDescent="0.35">
      <c r="A772" s="17" t="s">
        <v>865</v>
      </c>
      <c r="B772" s="8">
        <v>45190</v>
      </c>
      <c r="C772" s="22" t="s">
        <v>90</v>
      </c>
      <c r="D772" s="22" t="s">
        <v>74</v>
      </c>
      <c r="E772" s="22" t="s">
        <v>48</v>
      </c>
      <c r="F772" s="27">
        <v>2024</v>
      </c>
      <c r="G772" s="22" t="s">
        <v>61</v>
      </c>
      <c r="H772" s="22" t="s">
        <v>101</v>
      </c>
      <c r="I772" s="22" t="s">
        <v>27</v>
      </c>
      <c r="J772" s="45">
        <v>9000</v>
      </c>
      <c r="K772" s="1">
        <v>7</v>
      </c>
      <c r="L772" s="2">
        <v>0</v>
      </c>
      <c r="M772" s="45">
        <v>63000</v>
      </c>
      <c r="N772" s="45">
        <v>39735</v>
      </c>
      <c r="O772" s="45">
        <v>23265</v>
      </c>
      <c r="P772" s="3">
        <v>36.93</v>
      </c>
      <c r="Q772" s="32" t="s">
        <v>81</v>
      </c>
      <c r="R772" s="32" t="s">
        <v>29</v>
      </c>
      <c r="S772" s="32" t="s">
        <v>40</v>
      </c>
      <c r="T772" s="32" t="s">
        <v>31</v>
      </c>
      <c r="U772" s="38">
        <v>2</v>
      </c>
      <c r="V772" s="9"/>
    </row>
    <row r="773" spans="1:22" x14ac:dyDescent="0.35">
      <c r="A773" s="18" t="s">
        <v>866</v>
      </c>
      <c r="B773" s="7">
        <v>45586</v>
      </c>
      <c r="C773" s="23" t="s">
        <v>90</v>
      </c>
      <c r="D773" s="23" t="s">
        <v>34</v>
      </c>
      <c r="E773" s="23" t="s">
        <v>35</v>
      </c>
      <c r="F773" s="28">
        <v>2023</v>
      </c>
      <c r="G773" s="23" t="s">
        <v>36</v>
      </c>
      <c r="H773" s="23" t="s">
        <v>186</v>
      </c>
      <c r="I773" s="23" t="s">
        <v>55</v>
      </c>
      <c r="J773" s="46">
        <v>20000</v>
      </c>
      <c r="K773" s="4">
        <v>1</v>
      </c>
      <c r="L773" s="5">
        <v>20</v>
      </c>
      <c r="M773" s="46">
        <v>16000</v>
      </c>
      <c r="N773" s="46">
        <v>10674</v>
      </c>
      <c r="O773" s="46">
        <v>5326</v>
      </c>
      <c r="P773" s="6">
        <v>33.29</v>
      </c>
      <c r="Q773" s="33" t="s">
        <v>51</v>
      </c>
      <c r="R773" s="33" t="s">
        <v>76</v>
      </c>
      <c r="S773" s="33" t="s">
        <v>68</v>
      </c>
      <c r="T773" s="33" t="s">
        <v>31</v>
      </c>
      <c r="U773" s="39">
        <v>4</v>
      </c>
      <c r="V773" s="9"/>
    </row>
    <row r="774" spans="1:22" x14ac:dyDescent="0.35">
      <c r="A774" s="17" t="s">
        <v>867</v>
      </c>
      <c r="B774" s="8">
        <v>45447</v>
      </c>
      <c r="C774" s="22" t="s">
        <v>22</v>
      </c>
      <c r="D774" s="22" t="s">
        <v>23</v>
      </c>
      <c r="E774" s="22" t="s">
        <v>24</v>
      </c>
      <c r="F774" s="27">
        <v>2023</v>
      </c>
      <c r="G774" s="22" t="s">
        <v>43</v>
      </c>
      <c r="H774" s="22" t="s">
        <v>37</v>
      </c>
      <c r="I774" s="22" t="s">
        <v>38</v>
      </c>
      <c r="J774" s="45">
        <v>10000</v>
      </c>
      <c r="K774" s="1">
        <v>5</v>
      </c>
      <c r="L774" s="2">
        <v>15</v>
      </c>
      <c r="M774" s="45">
        <v>42500</v>
      </c>
      <c r="N774" s="45">
        <v>27164</v>
      </c>
      <c r="O774" s="45">
        <v>15336</v>
      </c>
      <c r="P774" s="3">
        <v>36.08</v>
      </c>
      <c r="Q774" s="32" t="s">
        <v>51</v>
      </c>
      <c r="R774" s="32" t="s">
        <v>76</v>
      </c>
      <c r="S774" s="32" t="s">
        <v>57</v>
      </c>
      <c r="T774" s="32" t="s">
        <v>31</v>
      </c>
      <c r="U774" s="38">
        <v>3</v>
      </c>
      <c r="V774" s="9"/>
    </row>
    <row r="775" spans="1:22" x14ac:dyDescent="0.35">
      <c r="A775" s="18" t="s">
        <v>868</v>
      </c>
      <c r="B775" s="7">
        <v>45522</v>
      </c>
      <c r="C775" s="23" t="s">
        <v>70</v>
      </c>
      <c r="D775" s="23" t="s">
        <v>74</v>
      </c>
      <c r="E775" s="23" t="s">
        <v>48</v>
      </c>
      <c r="F775" s="28">
        <v>2024</v>
      </c>
      <c r="G775" s="23" t="s">
        <v>36</v>
      </c>
      <c r="H775" s="23" t="s">
        <v>131</v>
      </c>
      <c r="I775" s="23" t="s">
        <v>63</v>
      </c>
      <c r="J775" s="46">
        <v>10000</v>
      </c>
      <c r="K775" s="4">
        <v>2</v>
      </c>
      <c r="L775" s="5">
        <v>0</v>
      </c>
      <c r="M775" s="46">
        <v>20000</v>
      </c>
      <c r="N775" s="46">
        <v>12824</v>
      </c>
      <c r="O775" s="46">
        <v>7176</v>
      </c>
      <c r="P775" s="6">
        <v>35.880000000000003</v>
      </c>
      <c r="Q775" s="33" t="s">
        <v>51</v>
      </c>
      <c r="R775" s="33" t="s">
        <v>76</v>
      </c>
      <c r="S775" s="33" t="s">
        <v>40</v>
      </c>
      <c r="T775" s="33" t="s">
        <v>31</v>
      </c>
      <c r="U775" s="39">
        <v>2</v>
      </c>
      <c r="V775" s="9"/>
    </row>
    <row r="776" spans="1:22" x14ac:dyDescent="0.35">
      <c r="A776" s="17" t="s">
        <v>869</v>
      </c>
      <c r="B776" s="8">
        <v>45389</v>
      </c>
      <c r="C776" s="22" t="s">
        <v>83</v>
      </c>
      <c r="D776" s="22" t="s">
        <v>110</v>
      </c>
      <c r="E776" s="22" t="s">
        <v>24</v>
      </c>
      <c r="F776" s="27">
        <v>2023</v>
      </c>
      <c r="G776" s="22" t="s">
        <v>25</v>
      </c>
      <c r="H776" s="22" t="s">
        <v>98</v>
      </c>
      <c r="I776" s="22" t="s">
        <v>63</v>
      </c>
      <c r="J776" s="45">
        <v>28000</v>
      </c>
      <c r="K776" s="1">
        <v>3</v>
      </c>
      <c r="L776" s="2">
        <v>10</v>
      </c>
      <c r="M776" s="45">
        <v>75600</v>
      </c>
      <c r="N776" s="45">
        <v>48971</v>
      </c>
      <c r="O776" s="45">
        <v>26629</v>
      </c>
      <c r="P776" s="3">
        <v>35.22</v>
      </c>
      <c r="Q776" s="32" t="s">
        <v>81</v>
      </c>
      <c r="R776" s="32" t="s">
        <v>29</v>
      </c>
      <c r="S776" s="32" t="s">
        <v>68</v>
      </c>
      <c r="T776" s="32" t="s">
        <v>41</v>
      </c>
      <c r="U776" s="38">
        <v>2</v>
      </c>
      <c r="V776" s="9"/>
    </row>
    <row r="777" spans="1:22" x14ac:dyDescent="0.35">
      <c r="A777" s="18" t="s">
        <v>870</v>
      </c>
      <c r="B777" s="7">
        <v>45309</v>
      </c>
      <c r="C777" s="23" t="s">
        <v>70</v>
      </c>
      <c r="D777" s="23" t="s">
        <v>47</v>
      </c>
      <c r="E777" s="23" t="s">
        <v>48</v>
      </c>
      <c r="F777" s="28">
        <v>2023</v>
      </c>
      <c r="G777" s="23" t="s">
        <v>25</v>
      </c>
      <c r="H777" s="23" t="s">
        <v>113</v>
      </c>
      <c r="I777" s="23" t="s">
        <v>38</v>
      </c>
      <c r="J777" s="46">
        <v>3500</v>
      </c>
      <c r="K777" s="4">
        <v>2</v>
      </c>
      <c r="L777" s="5">
        <v>20</v>
      </c>
      <c r="M777" s="46">
        <v>5600</v>
      </c>
      <c r="N777" s="46">
        <v>3460</v>
      </c>
      <c r="O777" s="46">
        <v>2140</v>
      </c>
      <c r="P777" s="6">
        <v>38.21</v>
      </c>
      <c r="Q777" s="33" t="s">
        <v>39</v>
      </c>
      <c r="R777" s="33" t="s">
        <v>29</v>
      </c>
      <c r="S777" s="33" t="s">
        <v>57</v>
      </c>
      <c r="T777" s="33" t="s">
        <v>41</v>
      </c>
      <c r="U777" s="39">
        <v>4</v>
      </c>
      <c r="V777" s="9"/>
    </row>
    <row r="778" spans="1:22" x14ac:dyDescent="0.35">
      <c r="A778" s="17" t="s">
        <v>871</v>
      </c>
      <c r="B778" s="8">
        <v>45499</v>
      </c>
      <c r="C778" s="22" t="s">
        <v>90</v>
      </c>
      <c r="D778" s="22" t="s">
        <v>108</v>
      </c>
      <c r="E778" s="22" t="s">
        <v>72</v>
      </c>
      <c r="F778" s="27">
        <v>2024</v>
      </c>
      <c r="G778" s="22" t="s">
        <v>25</v>
      </c>
      <c r="H778" s="22" t="s">
        <v>26</v>
      </c>
      <c r="I778" s="22" t="s">
        <v>27</v>
      </c>
      <c r="J778" s="45">
        <v>5000</v>
      </c>
      <c r="K778" s="1">
        <v>5</v>
      </c>
      <c r="L778" s="2">
        <v>15</v>
      </c>
      <c r="M778" s="45">
        <v>21250</v>
      </c>
      <c r="N778" s="45">
        <v>14870</v>
      </c>
      <c r="O778" s="45">
        <v>6380</v>
      </c>
      <c r="P778" s="3">
        <v>30.02</v>
      </c>
      <c r="Q778" s="32" t="s">
        <v>51</v>
      </c>
      <c r="R778" s="32" t="s">
        <v>45</v>
      </c>
      <c r="S778" s="32" t="s">
        <v>57</v>
      </c>
      <c r="T778" s="32" t="s">
        <v>31</v>
      </c>
      <c r="U778" s="38">
        <v>4</v>
      </c>
      <c r="V778" s="9"/>
    </row>
    <row r="779" spans="1:22" x14ac:dyDescent="0.35">
      <c r="A779" s="18" t="s">
        <v>872</v>
      </c>
      <c r="B779" s="7">
        <v>45245</v>
      </c>
      <c r="C779" s="23" t="s">
        <v>22</v>
      </c>
      <c r="D779" s="23" t="s">
        <v>79</v>
      </c>
      <c r="E779" s="23" t="s">
        <v>72</v>
      </c>
      <c r="F779" s="28">
        <v>2023</v>
      </c>
      <c r="G779" s="23" t="s">
        <v>25</v>
      </c>
      <c r="H779" s="23" t="s">
        <v>66</v>
      </c>
      <c r="I779" s="23" t="s">
        <v>38</v>
      </c>
      <c r="J779" s="46">
        <v>11000</v>
      </c>
      <c r="K779" s="4">
        <v>7</v>
      </c>
      <c r="L779" s="5">
        <v>5</v>
      </c>
      <c r="M779" s="46">
        <v>73150</v>
      </c>
      <c r="N779" s="46">
        <v>45016</v>
      </c>
      <c r="O779" s="46">
        <v>28134</v>
      </c>
      <c r="P779" s="6">
        <v>38.46</v>
      </c>
      <c r="Q779" s="33" t="s">
        <v>39</v>
      </c>
      <c r="R779" s="33" t="s">
        <v>29</v>
      </c>
      <c r="S779" s="33" t="s">
        <v>30</v>
      </c>
      <c r="T779" s="33" t="s">
        <v>31</v>
      </c>
      <c r="U779" s="39">
        <v>2</v>
      </c>
      <c r="V779" s="9"/>
    </row>
    <row r="780" spans="1:22" x14ac:dyDescent="0.35">
      <c r="A780" s="17" t="s">
        <v>873</v>
      </c>
      <c r="B780" s="8">
        <v>45023</v>
      </c>
      <c r="C780" s="22" t="s">
        <v>70</v>
      </c>
      <c r="D780" s="22" t="s">
        <v>87</v>
      </c>
      <c r="E780" s="22" t="s">
        <v>35</v>
      </c>
      <c r="F780" s="27">
        <v>2023</v>
      </c>
      <c r="G780" s="22" t="s">
        <v>43</v>
      </c>
      <c r="H780" s="22" t="s">
        <v>49</v>
      </c>
      <c r="I780" s="22" t="s">
        <v>50</v>
      </c>
      <c r="J780" s="45">
        <v>18000</v>
      </c>
      <c r="K780" s="1">
        <v>5</v>
      </c>
      <c r="L780" s="2">
        <v>15</v>
      </c>
      <c r="M780" s="45">
        <v>76500</v>
      </c>
      <c r="N780" s="45">
        <v>53991</v>
      </c>
      <c r="O780" s="45">
        <v>22509</v>
      </c>
      <c r="P780" s="3">
        <v>29.42</v>
      </c>
      <c r="Q780" s="32" t="s">
        <v>39</v>
      </c>
      <c r="R780" s="32" t="s">
        <v>67</v>
      </c>
      <c r="S780" s="32" t="s">
        <v>40</v>
      </c>
      <c r="T780" s="32" t="s">
        <v>41</v>
      </c>
      <c r="U780" s="38">
        <v>1</v>
      </c>
      <c r="V780" s="9"/>
    </row>
    <row r="781" spans="1:22" x14ac:dyDescent="0.35">
      <c r="A781" s="18" t="s">
        <v>874</v>
      </c>
      <c r="B781" s="7">
        <v>45055</v>
      </c>
      <c r="C781" s="23" t="s">
        <v>83</v>
      </c>
      <c r="D781" s="23" t="s">
        <v>34</v>
      </c>
      <c r="E781" s="23" t="s">
        <v>35</v>
      </c>
      <c r="F781" s="28">
        <v>2023</v>
      </c>
      <c r="G781" s="23" t="s">
        <v>25</v>
      </c>
      <c r="H781" s="23" t="s">
        <v>54</v>
      </c>
      <c r="I781" s="23" t="s">
        <v>55</v>
      </c>
      <c r="J781" s="46">
        <v>18000</v>
      </c>
      <c r="K781" s="4">
        <v>7</v>
      </c>
      <c r="L781" s="5">
        <v>5</v>
      </c>
      <c r="M781" s="46">
        <v>119700</v>
      </c>
      <c r="N781" s="46">
        <v>69189</v>
      </c>
      <c r="O781" s="46">
        <v>50511</v>
      </c>
      <c r="P781" s="6">
        <v>42.2</v>
      </c>
      <c r="Q781" s="33" t="s">
        <v>39</v>
      </c>
      <c r="R781" s="33" t="s">
        <v>29</v>
      </c>
      <c r="S781" s="33" t="s">
        <v>30</v>
      </c>
      <c r="T781" s="33" t="s">
        <v>31</v>
      </c>
      <c r="U781" s="39">
        <v>1</v>
      </c>
      <c r="V781" s="9"/>
    </row>
    <row r="782" spans="1:22" x14ac:dyDescent="0.35">
      <c r="A782" s="17" t="s">
        <v>875</v>
      </c>
      <c r="B782" s="8">
        <v>45049</v>
      </c>
      <c r="C782" s="22" t="s">
        <v>22</v>
      </c>
      <c r="D782" s="22" t="s">
        <v>23</v>
      </c>
      <c r="E782" s="22" t="s">
        <v>24</v>
      </c>
      <c r="F782" s="27">
        <v>2024</v>
      </c>
      <c r="G782" s="22" t="s">
        <v>43</v>
      </c>
      <c r="H782" s="22" t="s">
        <v>98</v>
      </c>
      <c r="I782" s="22" t="s">
        <v>63</v>
      </c>
      <c r="J782" s="45">
        <v>28000</v>
      </c>
      <c r="K782" s="1">
        <v>6</v>
      </c>
      <c r="L782" s="2">
        <v>15</v>
      </c>
      <c r="M782" s="45">
        <v>142800</v>
      </c>
      <c r="N782" s="45">
        <v>88234</v>
      </c>
      <c r="O782" s="45">
        <v>54566</v>
      </c>
      <c r="P782" s="3">
        <v>38.21</v>
      </c>
      <c r="Q782" s="32" t="s">
        <v>39</v>
      </c>
      <c r="R782" s="32" t="s">
        <v>67</v>
      </c>
      <c r="S782" s="32" t="s">
        <v>30</v>
      </c>
      <c r="T782" s="32" t="s">
        <v>41</v>
      </c>
      <c r="U782" s="38">
        <v>1</v>
      </c>
      <c r="V782" s="9"/>
    </row>
    <row r="783" spans="1:22" x14ac:dyDescent="0.35">
      <c r="A783" s="18" t="s">
        <v>876</v>
      </c>
      <c r="B783" s="7">
        <v>45620</v>
      </c>
      <c r="C783" s="23" t="s">
        <v>78</v>
      </c>
      <c r="D783" s="23" t="s">
        <v>97</v>
      </c>
      <c r="E783" s="23" t="s">
        <v>24</v>
      </c>
      <c r="F783" s="28">
        <v>2024</v>
      </c>
      <c r="G783" s="23" t="s">
        <v>25</v>
      </c>
      <c r="H783" s="23" t="s">
        <v>123</v>
      </c>
      <c r="I783" s="23" t="s">
        <v>38</v>
      </c>
      <c r="J783" s="46">
        <v>14000</v>
      </c>
      <c r="K783" s="4">
        <v>8</v>
      </c>
      <c r="L783" s="5">
        <v>5</v>
      </c>
      <c r="M783" s="46">
        <v>106400</v>
      </c>
      <c r="N783" s="46">
        <v>66865</v>
      </c>
      <c r="O783" s="46">
        <v>39535</v>
      </c>
      <c r="P783" s="6">
        <v>37.159999999999997</v>
      </c>
      <c r="Q783" s="33" t="s">
        <v>28</v>
      </c>
      <c r="R783" s="33" t="s">
        <v>29</v>
      </c>
      <c r="S783" s="33" t="s">
        <v>68</v>
      </c>
      <c r="T783" s="33" t="s">
        <v>31</v>
      </c>
      <c r="U783" s="39">
        <v>4</v>
      </c>
      <c r="V783" s="9"/>
    </row>
    <row r="784" spans="1:22" x14ac:dyDescent="0.35">
      <c r="A784" s="17" t="s">
        <v>877</v>
      </c>
      <c r="B784" s="8">
        <v>45126</v>
      </c>
      <c r="C784" s="22" t="s">
        <v>78</v>
      </c>
      <c r="D784" s="22" t="s">
        <v>23</v>
      </c>
      <c r="E784" s="22" t="s">
        <v>24</v>
      </c>
      <c r="F784" s="27">
        <v>2023</v>
      </c>
      <c r="G784" s="22" t="s">
        <v>25</v>
      </c>
      <c r="H784" s="22" t="s">
        <v>37</v>
      </c>
      <c r="I784" s="22" t="s">
        <v>38</v>
      </c>
      <c r="J784" s="45">
        <v>10000</v>
      </c>
      <c r="K784" s="1">
        <v>1</v>
      </c>
      <c r="L784" s="2">
        <v>10</v>
      </c>
      <c r="M784" s="45">
        <v>9000</v>
      </c>
      <c r="N784" s="45">
        <v>5104</v>
      </c>
      <c r="O784" s="45">
        <v>3896</v>
      </c>
      <c r="P784" s="3">
        <v>43.29</v>
      </c>
      <c r="Q784" s="32" t="s">
        <v>81</v>
      </c>
      <c r="R784" s="32" t="s">
        <v>76</v>
      </c>
      <c r="S784" s="32" t="s">
        <v>85</v>
      </c>
      <c r="T784" s="32" t="s">
        <v>31</v>
      </c>
      <c r="U784" s="38">
        <v>1</v>
      </c>
      <c r="V784" s="9"/>
    </row>
    <row r="785" spans="1:22" x14ac:dyDescent="0.35">
      <c r="A785" s="18" t="s">
        <v>878</v>
      </c>
      <c r="B785" s="7">
        <v>45547</v>
      </c>
      <c r="C785" s="23" t="s">
        <v>90</v>
      </c>
      <c r="D785" s="23" t="s">
        <v>110</v>
      </c>
      <c r="E785" s="23" t="s">
        <v>24</v>
      </c>
      <c r="F785" s="28">
        <v>2024</v>
      </c>
      <c r="G785" s="23" t="s">
        <v>36</v>
      </c>
      <c r="H785" s="23" t="s">
        <v>84</v>
      </c>
      <c r="I785" s="23" t="s">
        <v>27</v>
      </c>
      <c r="J785" s="46">
        <v>8000</v>
      </c>
      <c r="K785" s="4">
        <v>3</v>
      </c>
      <c r="L785" s="5">
        <v>5</v>
      </c>
      <c r="M785" s="46">
        <v>22800</v>
      </c>
      <c r="N785" s="46">
        <v>13928</v>
      </c>
      <c r="O785" s="46">
        <v>8872</v>
      </c>
      <c r="P785" s="6">
        <v>38.909999999999997</v>
      </c>
      <c r="Q785" s="33" t="s">
        <v>39</v>
      </c>
      <c r="R785" s="33" t="s">
        <v>76</v>
      </c>
      <c r="S785" s="33" t="s">
        <v>85</v>
      </c>
      <c r="T785" s="33" t="s">
        <v>41</v>
      </c>
      <c r="U785" s="39">
        <v>1</v>
      </c>
      <c r="V785" s="9"/>
    </row>
    <row r="786" spans="1:22" x14ac:dyDescent="0.35">
      <c r="A786" s="17" t="s">
        <v>879</v>
      </c>
      <c r="B786" s="8">
        <v>45092</v>
      </c>
      <c r="C786" s="22" t="s">
        <v>53</v>
      </c>
      <c r="D786" s="22" t="s">
        <v>23</v>
      </c>
      <c r="E786" s="22" t="s">
        <v>24</v>
      </c>
      <c r="F786" s="27">
        <v>2024</v>
      </c>
      <c r="G786" s="22" t="s">
        <v>43</v>
      </c>
      <c r="H786" s="22" t="s">
        <v>80</v>
      </c>
      <c r="I786" s="22" t="s">
        <v>55</v>
      </c>
      <c r="J786" s="45">
        <v>25000</v>
      </c>
      <c r="K786" s="1">
        <v>7</v>
      </c>
      <c r="L786" s="2">
        <v>15</v>
      </c>
      <c r="M786" s="45">
        <v>148750</v>
      </c>
      <c r="N786" s="45">
        <v>89609</v>
      </c>
      <c r="O786" s="45">
        <v>59141</v>
      </c>
      <c r="P786" s="3">
        <v>39.76</v>
      </c>
      <c r="Q786" s="32" t="s">
        <v>28</v>
      </c>
      <c r="R786" s="32" t="s">
        <v>29</v>
      </c>
      <c r="S786" s="32" t="s">
        <v>30</v>
      </c>
      <c r="T786" s="32" t="s">
        <v>41</v>
      </c>
      <c r="U786" s="38">
        <v>2</v>
      </c>
      <c r="V786" s="9"/>
    </row>
    <row r="787" spans="1:22" x14ac:dyDescent="0.35">
      <c r="A787" s="18" t="s">
        <v>880</v>
      </c>
      <c r="B787" s="7">
        <v>44982</v>
      </c>
      <c r="C787" s="23" t="s">
        <v>22</v>
      </c>
      <c r="D787" s="23" t="s">
        <v>79</v>
      </c>
      <c r="E787" s="23" t="s">
        <v>72</v>
      </c>
      <c r="F787" s="28">
        <v>2023</v>
      </c>
      <c r="G787" s="23" t="s">
        <v>36</v>
      </c>
      <c r="H787" s="23" t="s">
        <v>104</v>
      </c>
      <c r="I787" s="23" t="s">
        <v>50</v>
      </c>
      <c r="J787" s="46">
        <v>15000</v>
      </c>
      <c r="K787" s="4">
        <v>4</v>
      </c>
      <c r="L787" s="5">
        <v>0</v>
      </c>
      <c r="M787" s="46">
        <v>60000</v>
      </c>
      <c r="N787" s="46">
        <v>33164</v>
      </c>
      <c r="O787" s="46">
        <v>26836</v>
      </c>
      <c r="P787" s="6">
        <v>44.73</v>
      </c>
      <c r="Q787" s="33" t="s">
        <v>28</v>
      </c>
      <c r="R787" s="33" t="s">
        <v>76</v>
      </c>
      <c r="S787" s="33" t="s">
        <v>57</v>
      </c>
      <c r="T787" s="33" t="s">
        <v>31</v>
      </c>
      <c r="U787" s="39">
        <v>2</v>
      </c>
      <c r="V787" s="9"/>
    </row>
    <row r="788" spans="1:22" x14ac:dyDescent="0.35">
      <c r="A788" s="17" t="s">
        <v>881</v>
      </c>
      <c r="B788" s="8">
        <v>45593</v>
      </c>
      <c r="C788" s="22" t="s">
        <v>70</v>
      </c>
      <c r="D788" s="22" t="s">
        <v>34</v>
      </c>
      <c r="E788" s="22" t="s">
        <v>35</v>
      </c>
      <c r="F788" s="27">
        <v>2023</v>
      </c>
      <c r="G788" s="22" t="s">
        <v>36</v>
      </c>
      <c r="H788" s="22" t="s">
        <v>37</v>
      </c>
      <c r="I788" s="22" t="s">
        <v>38</v>
      </c>
      <c r="J788" s="45">
        <v>10000</v>
      </c>
      <c r="K788" s="1">
        <v>1</v>
      </c>
      <c r="L788" s="2">
        <v>5</v>
      </c>
      <c r="M788" s="45">
        <v>9500</v>
      </c>
      <c r="N788" s="45">
        <v>6053</v>
      </c>
      <c r="O788" s="45">
        <v>3447</v>
      </c>
      <c r="P788" s="3">
        <v>36.28</v>
      </c>
      <c r="Q788" s="32" t="s">
        <v>81</v>
      </c>
      <c r="R788" s="32" t="s">
        <v>45</v>
      </c>
      <c r="S788" s="32" t="s">
        <v>85</v>
      </c>
      <c r="T788" s="32" t="s">
        <v>31</v>
      </c>
      <c r="U788" s="38">
        <v>5</v>
      </c>
      <c r="V788" s="9"/>
    </row>
    <row r="789" spans="1:22" x14ac:dyDescent="0.35">
      <c r="A789" s="18" t="s">
        <v>882</v>
      </c>
      <c r="B789" s="7">
        <v>44947</v>
      </c>
      <c r="C789" s="23" t="s">
        <v>78</v>
      </c>
      <c r="D789" s="23" t="s">
        <v>74</v>
      </c>
      <c r="E789" s="23" t="s">
        <v>48</v>
      </c>
      <c r="F789" s="28">
        <v>2024</v>
      </c>
      <c r="G789" s="23" t="s">
        <v>25</v>
      </c>
      <c r="H789" s="23" t="s">
        <v>93</v>
      </c>
      <c r="I789" s="23" t="s">
        <v>63</v>
      </c>
      <c r="J789" s="46">
        <v>14000</v>
      </c>
      <c r="K789" s="4">
        <v>4</v>
      </c>
      <c r="L789" s="5">
        <v>0</v>
      </c>
      <c r="M789" s="46">
        <v>56000</v>
      </c>
      <c r="N789" s="46">
        <v>31808</v>
      </c>
      <c r="O789" s="46">
        <v>24192</v>
      </c>
      <c r="P789" s="6">
        <v>43.2</v>
      </c>
      <c r="Q789" s="33" t="s">
        <v>81</v>
      </c>
      <c r="R789" s="33" t="s">
        <v>56</v>
      </c>
      <c r="S789" s="33" t="s">
        <v>30</v>
      </c>
      <c r="T789" s="33" t="s">
        <v>41</v>
      </c>
      <c r="U789" s="39">
        <v>1</v>
      </c>
      <c r="V789" s="9"/>
    </row>
    <row r="790" spans="1:22" x14ac:dyDescent="0.35">
      <c r="A790" s="17" t="s">
        <v>883</v>
      </c>
      <c r="B790" s="8">
        <v>45236</v>
      </c>
      <c r="C790" s="22" t="s">
        <v>53</v>
      </c>
      <c r="D790" s="22" t="s">
        <v>74</v>
      </c>
      <c r="E790" s="22" t="s">
        <v>48</v>
      </c>
      <c r="F790" s="27">
        <v>2024</v>
      </c>
      <c r="G790" s="22" t="s">
        <v>43</v>
      </c>
      <c r="H790" s="22" t="s">
        <v>113</v>
      </c>
      <c r="I790" s="22" t="s">
        <v>38</v>
      </c>
      <c r="J790" s="45">
        <v>3500</v>
      </c>
      <c r="K790" s="1">
        <v>4</v>
      </c>
      <c r="L790" s="2">
        <v>0</v>
      </c>
      <c r="M790" s="45">
        <v>14000</v>
      </c>
      <c r="N790" s="45">
        <v>9266</v>
      </c>
      <c r="O790" s="45">
        <v>4734</v>
      </c>
      <c r="P790" s="3">
        <v>33.81</v>
      </c>
      <c r="Q790" s="32" t="s">
        <v>81</v>
      </c>
      <c r="R790" s="32" t="s">
        <v>29</v>
      </c>
      <c r="S790" s="32" t="s">
        <v>57</v>
      </c>
      <c r="T790" s="32" t="s">
        <v>31</v>
      </c>
      <c r="U790" s="38">
        <v>2</v>
      </c>
      <c r="V790" s="9"/>
    </row>
    <row r="791" spans="1:22" x14ac:dyDescent="0.35">
      <c r="A791" s="18" t="s">
        <v>884</v>
      </c>
      <c r="B791" s="7">
        <v>45476</v>
      </c>
      <c r="C791" s="23" t="s">
        <v>70</v>
      </c>
      <c r="D791" s="23" t="s">
        <v>74</v>
      </c>
      <c r="E791" s="23" t="s">
        <v>48</v>
      </c>
      <c r="F791" s="28">
        <v>2024</v>
      </c>
      <c r="G791" s="23" t="s">
        <v>43</v>
      </c>
      <c r="H791" s="23" t="s">
        <v>49</v>
      </c>
      <c r="I791" s="23" t="s">
        <v>50</v>
      </c>
      <c r="J791" s="46">
        <v>18000</v>
      </c>
      <c r="K791" s="4">
        <v>8</v>
      </c>
      <c r="L791" s="5">
        <v>0</v>
      </c>
      <c r="M791" s="46">
        <v>144000</v>
      </c>
      <c r="N791" s="46">
        <v>96643</v>
      </c>
      <c r="O791" s="46">
        <v>47357</v>
      </c>
      <c r="P791" s="6">
        <v>32.89</v>
      </c>
      <c r="Q791" s="33" t="s">
        <v>75</v>
      </c>
      <c r="R791" s="33" t="s">
        <v>56</v>
      </c>
      <c r="S791" s="33" t="s">
        <v>57</v>
      </c>
      <c r="T791" s="33" t="s">
        <v>41</v>
      </c>
      <c r="U791" s="39">
        <v>4</v>
      </c>
      <c r="V791" s="9"/>
    </row>
    <row r="792" spans="1:22" x14ac:dyDescent="0.35">
      <c r="A792" s="17" t="s">
        <v>885</v>
      </c>
      <c r="B792" s="8">
        <v>45354</v>
      </c>
      <c r="C792" s="22" t="s">
        <v>90</v>
      </c>
      <c r="D792" s="22" t="s">
        <v>110</v>
      </c>
      <c r="E792" s="22" t="s">
        <v>24</v>
      </c>
      <c r="F792" s="27">
        <v>2024</v>
      </c>
      <c r="G792" s="22" t="s">
        <v>61</v>
      </c>
      <c r="H792" s="22" t="s">
        <v>123</v>
      </c>
      <c r="I792" s="22" t="s">
        <v>38</v>
      </c>
      <c r="J792" s="45">
        <v>14000</v>
      </c>
      <c r="K792" s="1">
        <v>3</v>
      </c>
      <c r="L792" s="2">
        <v>15</v>
      </c>
      <c r="M792" s="45">
        <v>35700</v>
      </c>
      <c r="N792" s="45">
        <v>24258</v>
      </c>
      <c r="O792" s="45">
        <v>11442</v>
      </c>
      <c r="P792" s="3">
        <v>32.049999999999997</v>
      </c>
      <c r="Q792" s="32" t="s">
        <v>81</v>
      </c>
      <c r="R792" s="32" t="s">
        <v>67</v>
      </c>
      <c r="S792" s="32" t="s">
        <v>30</v>
      </c>
      <c r="T792" s="32" t="s">
        <v>31</v>
      </c>
      <c r="U792" s="38">
        <v>5</v>
      </c>
      <c r="V792" s="9"/>
    </row>
    <row r="793" spans="1:22" x14ac:dyDescent="0.35">
      <c r="A793" s="18" t="s">
        <v>886</v>
      </c>
      <c r="B793" s="7">
        <v>44971</v>
      </c>
      <c r="C793" s="23" t="s">
        <v>33</v>
      </c>
      <c r="D793" s="23" t="s">
        <v>108</v>
      </c>
      <c r="E793" s="23" t="s">
        <v>72</v>
      </c>
      <c r="F793" s="28">
        <v>2024</v>
      </c>
      <c r="G793" s="23" t="s">
        <v>36</v>
      </c>
      <c r="H793" s="23" t="s">
        <v>98</v>
      </c>
      <c r="I793" s="23" t="s">
        <v>63</v>
      </c>
      <c r="J793" s="46">
        <v>28000</v>
      </c>
      <c r="K793" s="4">
        <v>9</v>
      </c>
      <c r="L793" s="5">
        <v>15</v>
      </c>
      <c r="M793" s="46">
        <v>214200</v>
      </c>
      <c r="N793" s="46">
        <v>144822</v>
      </c>
      <c r="O793" s="46">
        <v>69378</v>
      </c>
      <c r="P793" s="6">
        <v>32.39</v>
      </c>
      <c r="Q793" s="33" t="s">
        <v>75</v>
      </c>
      <c r="R793" s="33" t="s">
        <v>29</v>
      </c>
      <c r="S793" s="33" t="s">
        <v>30</v>
      </c>
      <c r="T793" s="33" t="s">
        <v>31</v>
      </c>
      <c r="U793" s="39">
        <v>5</v>
      </c>
      <c r="V793" s="9"/>
    </row>
    <row r="794" spans="1:22" x14ac:dyDescent="0.35">
      <c r="A794" s="17" t="s">
        <v>887</v>
      </c>
      <c r="B794" s="8">
        <v>44972</v>
      </c>
      <c r="C794" s="22" t="s">
        <v>90</v>
      </c>
      <c r="D794" s="22" t="s">
        <v>116</v>
      </c>
      <c r="E794" s="22" t="s">
        <v>35</v>
      </c>
      <c r="F794" s="27">
        <v>2023</v>
      </c>
      <c r="G794" s="22" t="s">
        <v>61</v>
      </c>
      <c r="H794" s="22" t="s">
        <v>104</v>
      </c>
      <c r="I794" s="22" t="s">
        <v>50</v>
      </c>
      <c r="J794" s="45">
        <v>15000</v>
      </c>
      <c r="K794" s="1">
        <v>7</v>
      </c>
      <c r="L794" s="2">
        <v>20</v>
      </c>
      <c r="M794" s="45">
        <v>84000</v>
      </c>
      <c r="N794" s="45">
        <v>49678</v>
      </c>
      <c r="O794" s="45">
        <v>34322</v>
      </c>
      <c r="P794" s="3">
        <v>40.86</v>
      </c>
      <c r="Q794" s="32" t="s">
        <v>28</v>
      </c>
      <c r="R794" s="32" t="s">
        <v>76</v>
      </c>
      <c r="S794" s="32" t="s">
        <v>68</v>
      </c>
      <c r="T794" s="32" t="s">
        <v>41</v>
      </c>
      <c r="U794" s="38">
        <v>3</v>
      </c>
      <c r="V794" s="9"/>
    </row>
    <row r="795" spans="1:22" x14ac:dyDescent="0.35">
      <c r="A795" s="18" t="s">
        <v>888</v>
      </c>
      <c r="B795" s="7">
        <v>44964</v>
      </c>
      <c r="C795" s="23" t="s">
        <v>22</v>
      </c>
      <c r="D795" s="23" t="s">
        <v>71</v>
      </c>
      <c r="E795" s="23" t="s">
        <v>72</v>
      </c>
      <c r="F795" s="28">
        <v>2023</v>
      </c>
      <c r="G795" s="23" t="s">
        <v>36</v>
      </c>
      <c r="H795" s="23" t="s">
        <v>113</v>
      </c>
      <c r="I795" s="23" t="s">
        <v>38</v>
      </c>
      <c r="J795" s="46">
        <v>3500</v>
      </c>
      <c r="K795" s="4">
        <v>4</v>
      </c>
      <c r="L795" s="5">
        <v>15</v>
      </c>
      <c r="M795" s="46">
        <v>11900</v>
      </c>
      <c r="N795" s="46">
        <v>6622</v>
      </c>
      <c r="O795" s="46">
        <v>5278</v>
      </c>
      <c r="P795" s="6">
        <v>44.35</v>
      </c>
      <c r="Q795" s="33" t="s">
        <v>75</v>
      </c>
      <c r="R795" s="33" t="s">
        <v>67</v>
      </c>
      <c r="S795" s="33" t="s">
        <v>57</v>
      </c>
      <c r="T795" s="33" t="s">
        <v>41</v>
      </c>
      <c r="U795" s="39">
        <v>3</v>
      </c>
      <c r="V795" s="9"/>
    </row>
    <row r="796" spans="1:22" x14ac:dyDescent="0.35">
      <c r="A796" s="17" t="s">
        <v>889</v>
      </c>
      <c r="B796" s="8">
        <v>44964</v>
      </c>
      <c r="C796" s="22" t="s">
        <v>90</v>
      </c>
      <c r="D796" s="22" t="s">
        <v>23</v>
      </c>
      <c r="E796" s="22" t="s">
        <v>24</v>
      </c>
      <c r="F796" s="27">
        <v>2024</v>
      </c>
      <c r="G796" s="22" t="s">
        <v>61</v>
      </c>
      <c r="H796" s="22" t="s">
        <v>101</v>
      </c>
      <c r="I796" s="22" t="s">
        <v>27</v>
      </c>
      <c r="J796" s="45">
        <v>9000</v>
      </c>
      <c r="K796" s="1">
        <v>7</v>
      </c>
      <c r="L796" s="2">
        <v>15</v>
      </c>
      <c r="M796" s="45">
        <v>53550</v>
      </c>
      <c r="N796" s="45">
        <v>36851</v>
      </c>
      <c r="O796" s="45">
        <v>16699</v>
      </c>
      <c r="P796" s="3">
        <v>31.18</v>
      </c>
      <c r="Q796" s="32" t="s">
        <v>28</v>
      </c>
      <c r="R796" s="32" t="s">
        <v>56</v>
      </c>
      <c r="S796" s="32" t="s">
        <v>57</v>
      </c>
      <c r="T796" s="32" t="s">
        <v>31</v>
      </c>
      <c r="U796" s="38">
        <v>2</v>
      </c>
      <c r="V796" s="9"/>
    </row>
    <row r="797" spans="1:22" x14ac:dyDescent="0.35">
      <c r="A797" s="18" t="s">
        <v>890</v>
      </c>
      <c r="B797" s="7">
        <v>45377</v>
      </c>
      <c r="C797" s="23" t="s">
        <v>53</v>
      </c>
      <c r="D797" s="23" t="s">
        <v>71</v>
      </c>
      <c r="E797" s="23" t="s">
        <v>72</v>
      </c>
      <c r="F797" s="28">
        <v>2024</v>
      </c>
      <c r="G797" s="23" t="s">
        <v>25</v>
      </c>
      <c r="H797" s="23" t="s">
        <v>44</v>
      </c>
      <c r="I797" s="23" t="s">
        <v>27</v>
      </c>
      <c r="J797" s="46">
        <v>6000</v>
      </c>
      <c r="K797" s="4">
        <v>4</v>
      </c>
      <c r="L797" s="5">
        <v>10</v>
      </c>
      <c r="M797" s="46">
        <v>21600</v>
      </c>
      <c r="N797" s="46">
        <v>15085</v>
      </c>
      <c r="O797" s="46">
        <v>6515</v>
      </c>
      <c r="P797" s="6">
        <v>30.16</v>
      </c>
      <c r="Q797" s="33" t="s">
        <v>75</v>
      </c>
      <c r="R797" s="33" t="s">
        <v>45</v>
      </c>
      <c r="S797" s="33" t="s">
        <v>68</v>
      </c>
      <c r="T797" s="33" t="s">
        <v>31</v>
      </c>
      <c r="U797" s="39">
        <v>1</v>
      </c>
      <c r="V797" s="9"/>
    </row>
    <row r="798" spans="1:22" x14ac:dyDescent="0.35">
      <c r="A798" s="17" t="s">
        <v>891</v>
      </c>
      <c r="B798" s="8">
        <v>45367</v>
      </c>
      <c r="C798" s="22" t="s">
        <v>53</v>
      </c>
      <c r="D798" s="22" t="s">
        <v>116</v>
      </c>
      <c r="E798" s="22" t="s">
        <v>35</v>
      </c>
      <c r="F798" s="27">
        <v>2024</v>
      </c>
      <c r="G798" s="22" t="s">
        <v>36</v>
      </c>
      <c r="H798" s="22" t="s">
        <v>44</v>
      </c>
      <c r="I798" s="22" t="s">
        <v>27</v>
      </c>
      <c r="J798" s="45">
        <v>6000</v>
      </c>
      <c r="K798" s="1">
        <v>1</v>
      </c>
      <c r="L798" s="2">
        <v>15</v>
      </c>
      <c r="M798" s="45">
        <v>5100</v>
      </c>
      <c r="N798" s="45">
        <v>3665</v>
      </c>
      <c r="O798" s="45">
        <v>1435</v>
      </c>
      <c r="P798" s="3">
        <v>28.14</v>
      </c>
      <c r="Q798" s="32" t="s">
        <v>39</v>
      </c>
      <c r="R798" s="32" t="s">
        <v>56</v>
      </c>
      <c r="S798" s="32" t="s">
        <v>30</v>
      </c>
      <c r="T798" s="32" t="s">
        <v>31</v>
      </c>
      <c r="U798" s="38">
        <v>2</v>
      </c>
      <c r="V798" s="9"/>
    </row>
    <row r="799" spans="1:22" x14ac:dyDescent="0.35">
      <c r="A799" s="18" t="s">
        <v>892</v>
      </c>
      <c r="B799" s="7">
        <v>45363</v>
      </c>
      <c r="C799" s="23" t="s">
        <v>90</v>
      </c>
      <c r="D799" s="23" t="s">
        <v>87</v>
      </c>
      <c r="E799" s="23" t="s">
        <v>35</v>
      </c>
      <c r="F799" s="28">
        <v>2024</v>
      </c>
      <c r="G799" s="23" t="s">
        <v>36</v>
      </c>
      <c r="H799" s="23" t="s">
        <v>174</v>
      </c>
      <c r="I799" s="23" t="s">
        <v>27</v>
      </c>
      <c r="J799" s="46">
        <v>12000</v>
      </c>
      <c r="K799" s="4">
        <v>8</v>
      </c>
      <c r="L799" s="5">
        <v>0</v>
      </c>
      <c r="M799" s="46">
        <v>96000</v>
      </c>
      <c r="N799" s="46">
        <v>55479</v>
      </c>
      <c r="O799" s="46">
        <v>40521</v>
      </c>
      <c r="P799" s="6">
        <v>42.21</v>
      </c>
      <c r="Q799" s="33" t="s">
        <v>39</v>
      </c>
      <c r="R799" s="33" t="s">
        <v>56</v>
      </c>
      <c r="S799" s="33" t="s">
        <v>40</v>
      </c>
      <c r="T799" s="33" t="s">
        <v>31</v>
      </c>
      <c r="U799" s="39">
        <v>3</v>
      </c>
      <c r="V799" s="9"/>
    </row>
    <row r="800" spans="1:22" x14ac:dyDescent="0.35">
      <c r="A800" s="17" t="s">
        <v>893</v>
      </c>
      <c r="B800" s="8">
        <v>45615</v>
      </c>
      <c r="C800" s="22" t="s">
        <v>78</v>
      </c>
      <c r="D800" s="22" t="s">
        <v>23</v>
      </c>
      <c r="E800" s="22" t="s">
        <v>24</v>
      </c>
      <c r="F800" s="27">
        <v>2023</v>
      </c>
      <c r="G800" s="22" t="s">
        <v>25</v>
      </c>
      <c r="H800" s="22" t="s">
        <v>126</v>
      </c>
      <c r="I800" s="22" t="s">
        <v>55</v>
      </c>
      <c r="J800" s="45">
        <v>12000</v>
      </c>
      <c r="K800" s="1">
        <v>4</v>
      </c>
      <c r="L800" s="2">
        <v>0</v>
      </c>
      <c r="M800" s="45">
        <v>48000</v>
      </c>
      <c r="N800" s="45">
        <v>33437</v>
      </c>
      <c r="O800" s="45">
        <v>14563</v>
      </c>
      <c r="P800" s="3">
        <v>30.34</v>
      </c>
      <c r="Q800" s="32" t="s">
        <v>51</v>
      </c>
      <c r="R800" s="32" t="s">
        <v>76</v>
      </c>
      <c r="S800" s="32" t="s">
        <v>57</v>
      </c>
      <c r="T800" s="32" t="s">
        <v>41</v>
      </c>
      <c r="U800" s="38">
        <v>2</v>
      </c>
      <c r="V800" s="9"/>
    </row>
    <row r="801" spans="1:22" x14ac:dyDescent="0.35">
      <c r="A801" s="18" t="s">
        <v>894</v>
      </c>
      <c r="B801" s="7">
        <v>44996</v>
      </c>
      <c r="C801" s="23" t="s">
        <v>53</v>
      </c>
      <c r="D801" s="23" t="s">
        <v>34</v>
      </c>
      <c r="E801" s="23" t="s">
        <v>35</v>
      </c>
      <c r="F801" s="28">
        <v>2024</v>
      </c>
      <c r="G801" s="23" t="s">
        <v>25</v>
      </c>
      <c r="H801" s="23" t="s">
        <v>98</v>
      </c>
      <c r="I801" s="23" t="s">
        <v>63</v>
      </c>
      <c r="J801" s="46">
        <v>28000</v>
      </c>
      <c r="K801" s="4">
        <v>9</v>
      </c>
      <c r="L801" s="5">
        <v>10</v>
      </c>
      <c r="M801" s="46">
        <v>226800</v>
      </c>
      <c r="N801" s="46">
        <v>153076</v>
      </c>
      <c r="O801" s="46">
        <v>73724</v>
      </c>
      <c r="P801" s="6">
        <v>32.51</v>
      </c>
      <c r="Q801" s="33" t="s">
        <v>39</v>
      </c>
      <c r="R801" s="33" t="s">
        <v>67</v>
      </c>
      <c r="S801" s="33" t="s">
        <v>30</v>
      </c>
      <c r="T801" s="33" t="s">
        <v>41</v>
      </c>
      <c r="U801" s="39">
        <v>1</v>
      </c>
      <c r="V801" s="9"/>
    </row>
    <row r="802" spans="1:22" x14ac:dyDescent="0.35">
      <c r="A802" s="17" t="s">
        <v>895</v>
      </c>
      <c r="B802" s="8">
        <v>45382</v>
      </c>
      <c r="C802" s="22" t="s">
        <v>53</v>
      </c>
      <c r="D802" s="22" t="s">
        <v>110</v>
      </c>
      <c r="E802" s="22" t="s">
        <v>24</v>
      </c>
      <c r="F802" s="27">
        <v>2023</v>
      </c>
      <c r="G802" s="22" t="s">
        <v>61</v>
      </c>
      <c r="H802" s="22" t="s">
        <v>88</v>
      </c>
      <c r="I802" s="22" t="s">
        <v>55</v>
      </c>
      <c r="J802" s="45">
        <v>8000</v>
      </c>
      <c r="K802" s="1">
        <v>3</v>
      </c>
      <c r="L802" s="2">
        <v>10</v>
      </c>
      <c r="M802" s="45">
        <v>21600</v>
      </c>
      <c r="N802" s="45">
        <v>14548</v>
      </c>
      <c r="O802" s="45">
        <v>7052</v>
      </c>
      <c r="P802" s="3">
        <v>32.65</v>
      </c>
      <c r="Q802" s="32" t="s">
        <v>81</v>
      </c>
      <c r="R802" s="32" t="s">
        <v>67</v>
      </c>
      <c r="S802" s="32" t="s">
        <v>40</v>
      </c>
      <c r="T802" s="32" t="s">
        <v>41</v>
      </c>
      <c r="U802" s="38">
        <v>3</v>
      </c>
      <c r="V802" s="9"/>
    </row>
    <row r="803" spans="1:22" x14ac:dyDescent="0.35">
      <c r="A803" s="18" t="s">
        <v>896</v>
      </c>
      <c r="B803" s="7">
        <v>45439</v>
      </c>
      <c r="C803" s="23" t="s">
        <v>53</v>
      </c>
      <c r="D803" s="23" t="s">
        <v>47</v>
      </c>
      <c r="E803" s="23" t="s">
        <v>48</v>
      </c>
      <c r="F803" s="28">
        <v>2024</v>
      </c>
      <c r="G803" s="23" t="s">
        <v>36</v>
      </c>
      <c r="H803" s="23" t="s">
        <v>88</v>
      </c>
      <c r="I803" s="23" t="s">
        <v>55</v>
      </c>
      <c r="J803" s="46">
        <v>8000</v>
      </c>
      <c r="K803" s="4">
        <v>8</v>
      </c>
      <c r="L803" s="5">
        <v>0</v>
      </c>
      <c r="M803" s="46">
        <v>64000</v>
      </c>
      <c r="N803" s="46">
        <v>38826</v>
      </c>
      <c r="O803" s="46">
        <v>25174</v>
      </c>
      <c r="P803" s="6">
        <v>39.33</v>
      </c>
      <c r="Q803" s="33" t="s">
        <v>51</v>
      </c>
      <c r="R803" s="33" t="s">
        <v>56</v>
      </c>
      <c r="S803" s="33" t="s">
        <v>68</v>
      </c>
      <c r="T803" s="33" t="s">
        <v>31</v>
      </c>
      <c r="U803" s="39">
        <v>1</v>
      </c>
      <c r="V803" s="9"/>
    </row>
    <row r="804" spans="1:22" x14ac:dyDescent="0.35">
      <c r="A804" s="17" t="s">
        <v>897</v>
      </c>
      <c r="B804" s="8">
        <v>45053</v>
      </c>
      <c r="C804" s="22" t="s">
        <v>90</v>
      </c>
      <c r="D804" s="22" t="s">
        <v>116</v>
      </c>
      <c r="E804" s="22" t="s">
        <v>35</v>
      </c>
      <c r="F804" s="27">
        <v>2024</v>
      </c>
      <c r="G804" s="22" t="s">
        <v>61</v>
      </c>
      <c r="H804" s="22" t="s">
        <v>59</v>
      </c>
      <c r="I804" s="22" t="s">
        <v>50</v>
      </c>
      <c r="J804" s="45">
        <v>22000</v>
      </c>
      <c r="K804" s="1">
        <v>7</v>
      </c>
      <c r="L804" s="2">
        <v>5</v>
      </c>
      <c r="M804" s="45">
        <v>146300</v>
      </c>
      <c r="N804" s="45">
        <v>103851</v>
      </c>
      <c r="O804" s="45">
        <v>42449</v>
      </c>
      <c r="P804" s="3">
        <v>29.02</v>
      </c>
      <c r="Q804" s="32" t="s">
        <v>81</v>
      </c>
      <c r="R804" s="32" t="s">
        <v>67</v>
      </c>
      <c r="S804" s="32" t="s">
        <v>40</v>
      </c>
      <c r="T804" s="32" t="s">
        <v>31</v>
      </c>
      <c r="U804" s="38">
        <v>4</v>
      </c>
      <c r="V804" s="9"/>
    </row>
    <row r="805" spans="1:22" x14ac:dyDescent="0.35">
      <c r="A805" s="18" t="s">
        <v>898</v>
      </c>
      <c r="B805" s="7">
        <v>45483</v>
      </c>
      <c r="C805" s="23" t="s">
        <v>33</v>
      </c>
      <c r="D805" s="23" t="s">
        <v>74</v>
      </c>
      <c r="E805" s="23" t="s">
        <v>48</v>
      </c>
      <c r="F805" s="28">
        <v>2023</v>
      </c>
      <c r="G805" s="23" t="s">
        <v>25</v>
      </c>
      <c r="H805" s="23" t="s">
        <v>174</v>
      </c>
      <c r="I805" s="23" t="s">
        <v>27</v>
      </c>
      <c r="J805" s="46">
        <v>12000</v>
      </c>
      <c r="K805" s="4">
        <v>10</v>
      </c>
      <c r="L805" s="5">
        <v>0</v>
      </c>
      <c r="M805" s="46">
        <v>120000</v>
      </c>
      <c r="N805" s="46">
        <v>69962</v>
      </c>
      <c r="O805" s="46">
        <v>50038</v>
      </c>
      <c r="P805" s="6">
        <v>41.7</v>
      </c>
      <c r="Q805" s="33" t="s">
        <v>51</v>
      </c>
      <c r="R805" s="33" t="s">
        <v>45</v>
      </c>
      <c r="S805" s="33" t="s">
        <v>57</v>
      </c>
      <c r="T805" s="33" t="s">
        <v>41</v>
      </c>
      <c r="U805" s="39">
        <v>1</v>
      </c>
      <c r="V805" s="9"/>
    </row>
    <row r="806" spans="1:22" x14ac:dyDescent="0.35">
      <c r="A806" s="17" t="s">
        <v>899</v>
      </c>
      <c r="B806" s="8">
        <v>45070</v>
      </c>
      <c r="C806" s="22" t="s">
        <v>90</v>
      </c>
      <c r="D806" s="22" t="s">
        <v>23</v>
      </c>
      <c r="E806" s="22" t="s">
        <v>24</v>
      </c>
      <c r="F806" s="27">
        <v>2024</v>
      </c>
      <c r="G806" s="22" t="s">
        <v>61</v>
      </c>
      <c r="H806" s="22" t="s">
        <v>98</v>
      </c>
      <c r="I806" s="22" t="s">
        <v>63</v>
      </c>
      <c r="J806" s="45">
        <v>28000</v>
      </c>
      <c r="K806" s="1">
        <v>4</v>
      </c>
      <c r="L806" s="2">
        <v>0</v>
      </c>
      <c r="M806" s="45">
        <v>112000</v>
      </c>
      <c r="N806" s="45">
        <v>70696</v>
      </c>
      <c r="O806" s="45">
        <v>41304</v>
      </c>
      <c r="P806" s="3">
        <v>36.880000000000003</v>
      </c>
      <c r="Q806" s="32" t="s">
        <v>81</v>
      </c>
      <c r="R806" s="32" t="s">
        <v>76</v>
      </c>
      <c r="S806" s="32" t="s">
        <v>68</v>
      </c>
      <c r="T806" s="32" t="s">
        <v>41</v>
      </c>
      <c r="U806" s="38">
        <v>2</v>
      </c>
      <c r="V806" s="9"/>
    </row>
    <row r="807" spans="1:22" x14ac:dyDescent="0.35">
      <c r="A807" s="18" t="s">
        <v>900</v>
      </c>
      <c r="B807" s="7">
        <v>45244</v>
      </c>
      <c r="C807" s="23" t="s">
        <v>90</v>
      </c>
      <c r="D807" s="23" t="s">
        <v>79</v>
      </c>
      <c r="E807" s="23" t="s">
        <v>72</v>
      </c>
      <c r="F807" s="28">
        <v>2023</v>
      </c>
      <c r="G807" s="23" t="s">
        <v>25</v>
      </c>
      <c r="H807" s="23" t="s">
        <v>66</v>
      </c>
      <c r="I807" s="23" t="s">
        <v>38</v>
      </c>
      <c r="J807" s="46">
        <v>11000</v>
      </c>
      <c r="K807" s="4">
        <v>10</v>
      </c>
      <c r="L807" s="5">
        <v>15</v>
      </c>
      <c r="M807" s="46">
        <v>93500</v>
      </c>
      <c r="N807" s="46">
        <v>64801</v>
      </c>
      <c r="O807" s="46">
        <v>28699</v>
      </c>
      <c r="P807" s="6">
        <v>30.69</v>
      </c>
      <c r="Q807" s="33" t="s">
        <v>28</v>
      </c>
      <c r="R807" s="33" t="s">
        <v>76</v>
      </c>
      <c r="S807" s="33" t="s">
        <v>30</v>
      </c>
      <c r="T807" s="33" t="s">
        <v>41</v>
      </c>
      <c r="U807" s="39">
        <v>5</v>
      </c>
      <c r="V807" s="9"/>
    </row>
    <row r="808" spans="1:22" x14ac:dyDescent="0.35">
      <c r="A808" s="17" t="s">
        <v>901</v>
      </c>
      <c r="B808" s="8">
        <v>45405</v>
      </c>
      <c r="C808" s="22" t="s">
        <v>78</v>
      </c>
      <c r="D808" s="22" t="s">
        <v>65</v>
      </c>
      <c r="E808" s="22" t="s">
        <v>48</v>
      </c>
      <c r="F808" s="27">
        <v>2023</v>
      </c>
      <c r="G808" s="22" t="s">
        <v>25</v>
      </c>
      <c r="H808" s="22" t="s">
        <v>186</v>
      </c>
      <c r="I808" s="22" t="s">
        <v>55</v>
      </c>
      <c r="J808" s="45">
        <v>20000</v>
      </c>
      <c r="K808" s="1">
        <v>7</v>
      </c>
      <c r="L808" s="2">
        <v>0</v>
      </c>
      <c r="M808" s="45">
        <v>140000</v>
      </c>
      <c r="N808" s="45">
        <v>96748</v>
      </c>
      <c r="O808" s="45">
        <v>43252</v>
      </c>
      <c r="P808" s="3">
        <v>30.89</v>
      </c>
      <c r="Q808" s="32" t="s">
        <v>81</v>
      </c>
      <c r="R808" s="32" t="s">
        <v>45</v>
      </c>
      <c r="S808" s="32" t="s">
        <v>85</v>
      </c>
      <c r="T808" s="32" t="s">
        <v>41</v>
      </c>
      <c r="U808" s="38">
        <v>4</v>
      </c>
      <c r="V808" s="9"/>
    </row>
    <row r="809" spans="1:22" x14ac:dyDescent="0.35">
      <c r="A809" s="18" t="s">
        <v>902</v>
      </c>
      <c r="B809" s="7">
        <v>45458</v>
      </c>
      <c r="C809" s="23" t="s">
        <v>70</v>
      </c>
      <c r="D809" s="23" t="s">
        <v>34</v>
      </c>
      <c r="E809" s="23" t="s">
        <v>35</v>
      </c>
      <c r="F809" s="28">
        <v>2023</v>
      </c>
      <c r="G809" s="23" t="s">
        <v>43</v>
      </c>
      <c r="H809" s="23" t="s">
        <v>101</v>
      </c>
      <c r="I809" s="23" t="s">
        <v>27</v>
      </c>
      <c r="J809" s="46">
        <v>9000</v>
      </c>
      <c r="K809" s="4">
        <v>6</v>
      </c>
      <c r="L809" s="5">
        <v>20</v>
      </c>
      <c r="M809" s="46">
        <v>43200</v>
      </c>
      <c r="N809" s="46">
        <v>24808</v>
      </c>
      <c r="O809" s="46">
        <v>18392</v>
      </c>
      <c r="P809" s="6">
        <v>42.57</v>
      </c>
      <c r="Q809" s="33" t="s">
        <v>39</v>
      </c>
      <c r="R809" s="33" t="s">
        <v>67</v>
      </c>
      <c r="S809" s="33" t="s">
        <v>57</v>
      </c>
      <c r="T809" s="33" t="s">
        <v>31</v>
      </c>
      <c r="U809" s="39">
        <v>4</v>
      </c>
      <c r="V809" s="9"/>
    </row>
    <row r="810" spans="1:22" x14ac:dyDescent="0.35">
      <c r="A810" s="17" t="s">
        <v>903</v>
      </c>
      <c r="B810" s="8">
        <v>45129</v>
      </c>
      <c r="C810" s="22" t="s">
        <v>90</v>
      </c>
      <c r="D810" s="22" t="s">
        <v>47</v>
      </c>
      <c r="E810" s="22" t="s">
        <v>48</v>
      </c>
      <c r="F810" s="27">
        <v>2023</v>
      </c>
      <c r="G810" s="22" t="s">
        <v>36</v>
      </c>
      <c r="H810" s="22" t="s">
        <v>26</v>
      </c>
      <c r="I810" s="22" t="s">
        <v>27</v>
      </c>
      <c r="J810" s="45">
        <v>5000</v>
      </c>
      <c r="K810" s="1">
        <v>7</v>
      </c>
      <c r="L810" s="2">
        <v>10</v>
      </c>
      <c r="M810" s="45">
        <v>31500</v>
      </c>
      <c r="N810" s="45">
        <v>19557</v>
      </c>
      <c r="O810" s="45">
        <v>11943</v>
      </c>
      <c r="P810" s="3">
        <v>37.909999999999997</v>
      </c>
      <c r="Q810" s="32" t="s">
        <v>81</v>
      </c>
      <c r="R810" s="32" t="s">
        <v>67</v>
      </c>
      <c r="S810" s="32" t="s">
        <v>68</v>
      </c>
      <c r="T810" s="32" t="s">
        <v>41</v>
      </c>
      <c r="U810" s="38">
        <v>2</v>
      </c>
      <c r="V810" s="9"/>
    </row>
    <row r="811" spans="1:22" x14ac:dyDescent="0.35">
      <c r="A811" s="18" t="s">
        <v>904</v>
      </c>
      <c r="B811" s="7">
        <v>45602</v>
      </c>
      <c r="C811" s="23" t="s">
        <v>53</v>
      </c>
      <c r="D811" s="23" t="s">
        <v>97</v>
      </c>
      <c r="E811" s="23" t="s">
        <v>24</v>
      </c>
      <c r="F811" s="28">
        <v>2024</v>
      </c>
      <c r="G811" s="23" t="s">
        <v>36</v>
      </c>
      <c r="H811" s="23" t="s">
        <v>37</v>
      </c>
      <c r="I811" s="23" t="s">
        <v>38</v>
      </c>
      <c r="J811" s="46">
        <v>10000</v>
      </c>
      <c r="K811" s="4">
        <v>8</v>
      </c>
      <c r="L811" s="5">
        <v>0</v>
      </c>
      <c r="M811" s="46">
        <v>80000</v>
      </c>
      <c r="N811" s="46">
        <v>50836</v>
      </c>
      <c r="O811" s="46">
        <v>29164</v>
      </c>
      <c r="P811" s="6">
        <v>36.450000000000003</v>
      </c>
      <c r="Q811" s="33" t="s">
        <v>28</v>
      </c>
      <c r="R811" s="33" t="s">
        <v>67</v>
      </c>
      <c r="S811" s="33" t="s">
        <v>85</v>
      </c>
      <c r="T811" s="33" t="s">
        <v>31</v>
      </c>
      <c r="U811" s="39">
        <v>2</v>
      </c>
      <c r="V811" s="9"/>
    </row>
    <row r="812" spans="1:22" x14ac:dyDescent="0.35">
      <c r="A812" s="17" t="s">
        <v>905</v>
      </c>
      <c r="B812" s="8">
        <v>45513</v>
      </c>
      <c r="C812" s="22" t="s">
        <v>33</v>
      </c>
      <c r="D812" s="22" t="s">
        <v>65</v>
      </c>
      <c r="E812" s="22" t="s">
        <v>48</v>
      </c>
      <c r="F812" s="27">
        <v>2023</v>
      </c>
      <c r="G812" s="22" t="s">
        <v>43</v>
      </c>
      <c r="H812" s="22" t="s">
        <v>37</v>
      </c>
      <c r="I812" s="22" t="s">
        <v>38</v>
      </c>
      <c r="J812" s="45">
        <v>10000</v>
      </c>
      <c r="K812" s="1">
        <v>5</v>
      </c>
      <c r="L812" s="2">
        <v>20</v>
      </c>
      <c r="M812" s="45">
        <v>40000</v>
      </c>
      <c r="N812" s="45">
        <v>24780</v>
      </c>
      <c r="O812" s="45">
        <v>15220</v>
      </c>
      <c r="P812" s="3">
        <v>38.049999999999997</v>
      </c>
      <c r="Q812" s="32" t="s">
        <v>75</v>
      </c>
      <c r="R812" s="32" t="s">
        <v>76</v>
      </c>
      <c r="S812" s="32" t="s">
        <v>68</v>
      </c>
      <c r="T812" s="32" t="s">
        <v>41</v>
      </c>
      <c r="U812" s="38">
        <v>1</v>
      </c>
      <c r="V812" s="9"/>
    </row>
    <row r="813" spans="1:22" x14ac:dyDescent="0.35">
      <c r="A813" s="18" t="s">
        <v>906</v>
      </c>
      <c r="B813" s="7">
        <v>45234</v>
      </c>
      <c r="C813" s="23" t="s">
        <v>90</v>
      </c>
      <c r="D813" s="23" t="s">
        <v>47</v>
      </c>
      <c r="E813" s="23" t="s">
        <v>48</v>
      </c>
      <c r="F813" s="28">
        <v>2024</v>
      </c>
      <c r="G813" s="23" t="s">
        <v>43</v>
      </c>
      <c r="H813" s="23" t="s">
        <v>84</v>
      </c>
      <c r="I813" s="23" t="s">
        <v>27</v>
      </c>
      <c r="J813" s="46">
        <v>8000</v>
      </c>
      <c r="K813" s="4">
        <v>2</v>
      </c>
      <c r="L813" s="5">
        <v>0</v>
      </c>
      <c r="M813" s="46">
        <v>16000</v>
      </c>
      <c r="N813" s="46">
        <v>8881</v>
      </c>
      <c r="O813" s="46">
        <v>7119</v>
      </c>
      <c r="P813" s="6">
        <v>44.49</v>
      </c>
      <c r="Q813" s="33" t="s">
        <v>39</v>
      </c>
      <c r="R813" s="33" t="s">
        <v>67</v>
      </c>
      <c r="S813" s="33" t="s">
        <v>40</v>
      </c>
      <c r="T813" s="33" t="s">
        <v>31</v>
      </c>
      <c r="U813" s="39">
        <v>1</v>
      </c>
      <c r="V813" s="9"/>
    </row>
    <row r="814" spans="1:22" x14ac:dyDescent="0.35">
      <c r="A814" s="17" t="s">
        <v>907</v>
      </c>
      <c r="B814" s="8">
        <v>45236</v>
      </c>
      <c r="C814" s="22" t="s">
        <v>53</v>
      </c>
      <c r="D814" s="22" t="s">
        <v>79</v>
      </c>
      <c r="E814" s="22" t="s">
        <v>72</v>
      </c>
      <c r="F814" s="27">
        <v>2023</v>
      </c>
      <c r="G814" s="22" t="s">
        <v>61</v>
      </c>
      <c r="H814" s="22" t="s">
        <v>101</v>
      </c>
      <c r="I814" s="22" t="s">
        <v>27</v>
      </c>
      <c r="J814" s="45">
        <v>9000</v>
      </c>
      <c r="K814" s="1">
        <v>1</v>
      </c>
      <c r="L814" s="2">
        <v>0</v>
      </c>
      <c r="M814" s="45">
        <v>9000</v>
      </c>
      <c r="N814" s="45">
        <v>5273</v>
      </c>
      <c r="O814" s="45">
        <v>3727</v>
      </c>
      <c r="P814" s="3">
        <v>41.41</v>
      </c>
      <c r="Q814" s="32" t="s">
        <v>28</v>
      </c>
      <c r="R814" s="32" t="s">
        <v>67</v>
      </c>
      <c r="S814" s="32" t="s">
        <v>85</v>
      </c>
      <c r="T814" s="32" t="s">
        <v>41</v>
      </c>
      <c r="U814" s="38">
        <v>4</v>
      </c>
      <c r="V814" s="9"/>
    </row>
    <row r="815" spans="1:22" x14ac:dyDescent="0.35">
      <c r="A815" s="18" t="s">
        <v>908</v>
      </c>
      <c r="B815" s="7">
        <v>45201</v>
      </c>
      <c r="C815" s="23" t="s">
        <v>83</v>
      </c>
      <c r="D815" s="23" t="s">
        <v>97</v>
      </c>
      <c r="E815" s="23" t="s">
        <v>24</v>
      </c>
      <c r="F815" s="28">
        <v>2023</v>
      </c>
      <c r="G815" s="23" t="s">
        <v>61</v>
      </c>
      <c r="H815" s="23" t="s">
        <v>126</v>
      </c>
      <c r="I815" s="23" t="s">
        <v>55</v>
      </c>
      <c r="J815" s="46">
        <v>12000</v>
      </c>
      <c r="K815" s="4">
        <v>6</v>
      </c>
      <c r="L815" s="5">
        <v>0</v>
      </c>
      <c r="M815" s="46">
        <v>72000</v>
      </c>
      <c r="N815" s="46">
        <v>47946</v>
      </c>
      <c r="O815" s="46">
        <v>24054</v>
      </c>
      <c r="P815" s="6">
        <v>33.409999999999997</v>
      </c>
      <c r="Q815" s="33" t="s">
        <v>81</v>
      </c>
      <c r="R815" s="33" t="s">
        <v>45</v>
      </c>
      <c r="S815" s="33" t="s">
        <v>68</v>
      </c>
      <c r="T815" s="33" t="s">
        <v>41</v>
      </c>
      <c r="U815" s="39">
        <v>4</v>
      </c>
      <c r="V815" s="9"/>
    </row>
    <row r="816" spans="1:22" x14ac:dyDescent="0.35">
      <c r="A816" s="17" t="s">
        <v>909</v>
      </c>
      <c r="B816" s="8">
        <v>45519</v>
      </c>
      <c r="C816" s="22" t="s">
        <v>83</v>
      </c>
      <c r="D816" s="22" t="s">
        <v>79</v>
      </c>
      <c r="E816" s="22" t="s">
        <v>72</v>
      </c>
      <c r="F816" s="27">
        <v>2024</v>
      </c>
      <c r="G816" s="22" t="s">
        <v>43</v>
      </c>
      <c r="H816" s="22" t="s">
        <v>84</v>
      </c>
      <c r="I816" s="22" t="s">
        <v>27</v>
      </c>
      <c r="J816" s="45">
        <v>8000</v>
      </c>
      <c r="K816" s="1">
        <v>6</v>
      </c>
      <c r="L816" s="2">
        <v>20</v>
      </c>
      <c r="M816" s="45">
        <v>38400</v>
      </c>
      <c r="N816" s="45">
        <v>21774</v>
      </c>
      <c r="O816" s="45">
        <v>16626</v>
      </c>
      <c r="P816" s="3">
        <v>43.3</v>
      </c>
      <c r="Q816" s="32" t="s">
        <v>51</v>
      </c>
      <c r="R816" s="32" t="s">
        <v>67</v>
      </c>
      <c r="S816" s="32" t="s">
        <v>68</v>
      </c>
      <c r="T816" s="32" t="s">
        <v>31</v>
      </c>
      <c r="U816" s="38">
        <v>5</v>
      </c>
      <c r="V816" s="9"/>
    </row>
    <row r="817" spans="1:22" x14ac:dyDescent="0.35">
      <c r="A817" s="18" t="s">
        <v>910</v>
      </c>
      <c r="B817" s="7">
        <v>45330</v>
      </c>
      <c r="C817" s="23" t="s">
        <v>53</v>
      </c>
      <c r="D817" s="23" t="s">
        <v>23</v>
      </c>
      <c r="E817" s="23" t="s">
        <v>24</v>
      </c>
      <c r="F817" s="28">
        <v>2023</v>
      </c>
      <c r="G817" s="23" t="s">
        <v>36</v>
      </c>
      <c r="H817" s="23" t="s">
        <v>123</v>
      </c>
      <c r="I817" s="23" t="s">
        <v>38</v>
      </c>
      <c r="J817" s="46">
        <v>14000</v>
      </c>
      <c r="K817" s="4">
        <v>8</v>
      </c>
      <c r="L817" s="5">
        <v>10</v>
      </c>
      <c r="M817" s="46">
        <v>100800</v>
      </c>
      <c r="N817" s="46">
        <v>67198</v>
      </c>
      <c r="O817" s="46">
        <v>33602</v>
      </c>
      <c r="P817" s="6">
        <v>33.340000000000003</v>
      </c>
      <c r="Q817" s="33" t="s">
        <v>51</v>
      </c>
      <c r="R817" s="33" t="s">
        <v>29</v>
      </c>
      <c r="S817" s="33" t="s">
        <v>40</v>
      </c>
      <c r="T817" s="33" t="s">
        <v>31</v>
      </c>
      <c r="U817" s="39">
        <v>3</v>
      </c>
      <c r="V817" s="9"/>
    </row>
    <row r="818" spans="1:22" x14ac:dyDescent="0.35">
      <c r="A818" s="17" t="s">
        <v>911</v>
      </c>
      <c r="B818" s="8">
        <v>45477</v>
      </c>
      <c r="C818" s="22" t="s">
        <v>22</v>
      </c>
      <c r="D818" s="22" t="s">
        <v>47</v>
      </c>
      <c r="E818" s="22" t="s">
        <v>48</v>
      </c>
      <c r="F818" s="27">
        <v>2023</v>
      </c>
      <c r="G818" s="22" t="s">
        <v>43</v>
      </c>
      <c r="H818" s="22" t="s">
        <v>117</v>
      </c>
      <c r="I818" s="22" t="s">
        <v>50</v>
      </c>
      <c r="J818" s="45">
        <v>8000</v>
      </c>
      <c r="K818" s="1">
        <v>6</v>
      </c>
      <c r="L818" s="2">
        <v>15</v>
      </c>
      <c r="M818" s="45">
        <v>40800</v>
      </c>
      <c r="N818" s="45">
        <v>25522</v>
      </c>
      <c r="O818" s="45">
        <v>15278</v>
      </c>
      <c r="P818" s="3">
        <v>37.450000000000003</v>
      </c>
      <c r="Q818" s="32" t="s">
        <v>75</v>
      </c>
      <c r="R818" s="32" t="s">
        <v>67</v>
      </c>
      <c r="S818" s="32" t="s">
        <v>40</v>
      </c>
      <c r="T818" s="32" t="s">
        <v>41</v>
      </c>
      <c r="U818" s="38">
        <v>4</v>
      </c>
      <c r="V818" s="9"/>
    </row>
    <row r="819" spans="1:22" x14ac:dyDescent="0.35">
      <c r="A819" s="18" t="s">
        <v>912</v>
      </c>
      <c r="B819" s="7">
        <v>45511</v>
      </c>
      <c r="C819" s="23" t="s">
        <v>33</v>
      </c>
      <c r="D819" s="23" t="s">
        <v>116</v>
      </c>
      <c r="E819" s="23" t="s">
        <v>35</v>
      </c>
      <c r="F819" s="28">
        <v>2024</v>
      </c>
      <c r="G819" s="23" t="s">
        <v>43</v>
      </c>
      <c r="H819" s="23" t="s">
        <v>174</v>
      </c>
      <c r="I819" s="23" t="s">
        <v>27</v>
      </c>
      <c r="J819" s="46">
        <v>12000</v>
      </c>
      <c r="K819" s="4">
        <v>5</v>
      </c>
      <c r="L819" s="5">
        <v>10</v>
      </c>
      <c r="M819" s="46">
        <v>54000</v>
      </c>
      <c r="N819" s="46">
        <v>31491</v>
      </c>
      <c r="O819" s="46">
        <v>22509</v>
      </c>
      <c r="P819" s="6">
        <v>41.68</v>
      </c>
      <c r="Q819" s="33" t="s">
        <v>39</v>
      </c>
      <c r="R819" s="33" t="s">
        <v>29</v>
      </c>
      <c r="S819" s="33" t="s">
        <v>85</v>
      </c>
      <c r="T819" s="33" t="s">
        <v>31</v>
      </c>
      <c r="U819" s="39">
        <v>4</v>
      </c>
      <c r="V819" s="9"/>
    </row>
    <row r="820" spans="1:22" x14ac:dyDescent="0.35">
      <c r="A820" s="17" t="s">
        <v>913</v>
      </c>
      <c r="B820" s="8">
        <v>45027</v>
      </c>
      <c r="C820" s="22" t="s">
        <v>78</v>
      </c>
      <c r="D820" s="22" t="s">
        <v>65</v>
      </c>
      <c r="E820" s="22" t="s">
        <v>48</v>
      </c>
      <c r="F820" s="27">
        <v>2023</v>
      </c>
      <c r="G820" s="22" t="s">
        <v>36</v>
      </c>
      <c r="H820" s="22" t="s">
        <v>49</v>
      </c>
      <c r="I820" s="22" t="s">
        <v>50</v>
      </c>
      <c r="J820" s="45">
        <v>18000</v>
      </c>
      <c r="K820" s="1">
        <v>8</v>
      </c>
      <c r="L820" s="2">
        <v>0</v>
      </c>
      <c r="M820" s="45">
        <v>144000</v>
      </c>
      <c r="N820" s="45">
        <v>101144</v>
      </c>
      <c r="O820" s="45">
        <v>42856</v>
      </c>
      <c r="P820" s="3">
        <v>29.76</v>
      </c>
      <c r="Q820" s="32" t="s">
        <v>28</v>
      </c>
      <c r="R820" s="32" t="s">
        <v>67</v>
      </c>
      <c r="S820" s="32" t="s">
        <v>85</v>
      </c>
      <c r="T820" s="32" t="s">
        <v>31</v>
      </c>
      <c r="U820" s="38">
        <v>2</v>
      </c>
      <c r="V820" s="9"/>
    </row>
    <row r="821" spans="1:22" x14ac:dyDescent="0.35">
      <c r="A821" s="18" t="s">
        <v>914</v>
      </c>
      <c r="B821" s="7">
        <v>44967</v>
      </c>
      <c r="C821" s="23" t="s">
        <v>53</v>
      </c>
      <c r="D821" s="23" t="s">
        <v>87</v>
      </c>
      <c r="E821" s="23" t="s">
        <v>35</v>
      </c>
      <c r="F821" s="28">
        <v>2023</v>
      </c>
      <c r="G821" s="23" t="s">
        <v>36</v>
      </c>
      <c r="H821" s="23" t="s">
        <v>26</v>
      </c>
      <c r="I821" s="23" t="s">
        <v>27</v>
      </c>
      <c r="J821" s="46">
        <v>5000</v>
      </c>
      <c r="K821" s="4">
        <v>7</v>
      </c>
      <c r="L821" s="5">
        <v>15</v>
      </c>
      <c r="M821" s="46">
        <v>29750</v>
      </c>
      <c r="N821" s="46">
        <v>16510</v>
      </c>
      <c r="O821" s="46">
        <v>13240</v>
      </c>
      <c r="P821" s="6">
        <v>44.5</v>
      </c>
      <c r="Q821" s="33" t="s">
        <v>81</v>
      </c>
      <c r="R821" s="33" t="s">
        <v>67</v>
      </c>
      <c r="S821" s="33" t="s">
        <v>57</v>
      </c>
      <c r="T821" s="33" t="s">
        <v>41</v>
      </c>
      <c r="U821" s="39">
        <v>4</v>
      </c>
      <c r="V821" s="9"/>
    </row>
    <row r="822" spans="1:22" x14ac:dyDescent="0.35">
      <c r="A822" s="17" t="s">
        <v>915</v>
      </c>
      <c r="B822" s="8">
        <v>45330</v>
      </c>
      <c r="C822" s="22" t="s">
        <v>70</v>
      </c>
      <c r="D822" s="22" t="s">
        <v>110</v>
      </c>
      <c r="E822" s="22" t="s">
        <v>24</v>
      </c>
      <c r="F822" s="27">
        <v>2024</v>
      </c>
      <c r="G822" s="22" t="s">
        <v>43</v>
      </c>
      <c r="H822" s="22" t="s">
        <v>44</v>
      </c>
      <c r="I822" s="22" t="s">
        <v>27</v>
      </c>
      <c r="J822" s="45">
        <v>6000</v>
      </c>
      <c r="K822" s="1">
        <v>9</v>
      </c>
      <c r="L822" s="2">
        <v>15</v>
      </c>
      <c r="M822" s="45">
        <v>45900</v>
      </c>
      <c r="N822" s="45">
        <v>30905</v>
      </c>
      <c r="O822" s="45">
        <v>14995</v>
      </c>
      <c r="P822" s="3">
        <v>32.67</v>
      </c>
      <c r="Q822" s="32" t="s">
        <v>28</v>
      </c>
      <c r="R822" s="32" t="s">
        <v>45</v>
      </c>
      <c r="S822" s="32" t="s">
        <v>68</v>
      </c>
      <c r="T822" s="32" t="s">
        <v>41</v>
      </c>
      <c r="U822" s="38">
        <v>4</v>
      </c>
      <c r="V822" s="9"/>
    </row>
    <row r="823" spans="1:22" x14ac:dyDescent="0.35">
      <c r="A823" s="18" t="s">
        <v>916</v>
      </c>
      <c r="B823" s="7">
        <v>45305</v>
      </c>
      <c r="C823" s="23" t="s">
        <v>78</v>
      </c>
      <c r="D823" s="23" t="s">
        <v>47</v>
      </c>
      <c r="E823" s="23" t="s">
        <v>48</v>
      </c>
      <c r="F823" s="28">
        <v>2024</v>
      </c>
      <c r="G823" s="23" t="s">
        <v>43</v>
      </c>
      <c r="H823" s="23" t="s">
        <v>126</v>
      </c>
      <c r="I823" s="23" t="s">
        <v>55</v>
      </c>
      <c r="J823" s="46">
        <v>12000</v>
      </c>
      <c r="K823" s="4">
        <v>4</v>
      </c>
      <c r="L823" s="5">
        <v>0</v>
      </c>
      <c r="M823" s="46">
        <v>48000</v>
      </c>
      <c r="N823" s="46">
        <v>28514</v>
      </c>
      <c r="O823" s="46">
        <v>19486</v>
      </c>
      <c r="P823" s="6">
        <v>40.6</v>
      </c>
      <c r="Q823" s="33" t="s">
        <v>81</v>
      </c>
      <c r="R823" s="33" t="s">
        <v>76</v>
      </c>
      <c r="S823" s="33" t="s">
        <v>30</v>
      </c>
      <c r="T823" s="33" t="s">
        <v>41</v>
      </c>
      <c r="U823" s="39">
        <v>5</v>
      </c>
      <c r="V823" s="9"/>
    </row>
    <row r="824" spans="1:22" x14ac:dyDescent="0.35">
      <c r="A824" s="17" t="s">
        <v>917</v>
      </c>
      <c r="B824" s="8">
        <v>45525</v>
      </c>
      <c r="C824" s="22" t="s">
        <v>22</v>
      </c>
      <c r="D824" s="22" t="s">
        <v>71</v>
      </c>
      <c r="E824" s="22" t="s">
        <v>72</v>
      </c>
      <c r="F824" s="27">
        <v>2023</v>
      </c>
      <c r="G824" s="22" t="s">
        <v>61</v>
      </c>
      <c r="H824" s="22" t="s">
        <v>101</v>
      </c>
      <c r="I824" s="22" t="s">
        <v>27</v>
      </c>
      <c r="J824" s="45">
        <v>9000</v>
      </c>
      <c r="K824" s="1">
        <v>6</v>
      </c>
      <c r="L824" s="2">
        <v>0</v>
      </c>
      <c r="M824" s="45">
        <v>54000</v>
      </c>
      <c r="N824" s="45">
        <v>37534</v>
      </c>
      <c r="O824" s="45">
        <v>16466</v>
      </c>
      <c r="P824" s="3">
        <v>30.49</v>
      </c>
      <c r="Q824" s="32" t="s">
        <v>51</v>
      </c>
      <c r="R824" s="32" t="s">
        <v>29</v>
      </c>
      <c r="S824" s="32" t="s">
        <v>30</v>
      </c>
      <c r="T824" s="32" t="s">
        <v>31</v>
      </c>
      <c r="U824" s="38">
        <v>5</v>
      </c>
      <c r="V824" s="9"/>
    </row>
    <row r="825" spans="1:22" x14ac:dyDescent="0.35">
      <c r="A825" s="18" t="s">
        <v>918</v>
      </c>
      <c r="B825" s="7">
        <v>44947</v>
      </c>
      <c r="C825" s="23" t="s">
        <v>83</v>
      </c>
      <c r="D825" s="23" t="s">
        <v>71</v>
      </c>
      <c r="E825" s="23" t="s">
        <v>72</v>
      </c>
      <c r="F825" s="28">
        <v>2024</v>
      </c>
      <c r="G825" s="23" t="s">
        <v>36</v>
      </c>
      <c r="H825" s="23" t="s">
        <v>113</v>
      </c>
      <c r="I825" s="23" t="s">
        <v>38</v>
      </c>
      <c r="J825" s="46">
        <v>3500</v>
      </c>
      <c r="K825" s="4">
        <v>7</v>
      </c>
      <c r="L825" s="5">
        <v>0</v>
      </c>
      <c r="M825" s="46">
        <v>24500</v>
      </c>
      <c r="N825" s="46">
        <v>16687</v>
      </c>
      <c r="O825" s="46">
        <v>7813</v>
      </c>
      <c r="P825" s="6">
        <v>31.89</v>
      </c>
      <c r="Q825" s="33" t="s">
        <v>39</v>
      </c>
      <c r="R825" s="33" t="s">
        <v>29</v>
      </c>
      <c r="S825" s="33" t="s">
        <v>85</v>
      </c>
      <c r="T825" s="33" t="s">
        <v>31</v>
      </c>
      <c r="U825" s="39">
        <v>4</v>
      </c>
      <c r="V825" s="9"/>
    </row>
    <row r="826" spans="1:22" x14ac:dyDescent="0.35">
      <c r="A826" s="17" t="s">
        <v>919</v>
      </c>
      <c r="B826" s="8">
        <v>45459</v>
      </c>
      <c r="C826" s="22" t="s">
        <v>83</v>
      </c>
      <c r="D826" s="22" t="s">
        <v>47</v>
      </c>
      <c r="E826" s="22" t="s">
        <v>48</v>
      </c>
      <c r="F826" s="27">
        <v>2023</v>
      </c>
      <c r="G826" s="22" t="s">
        <v>25</v>
      </c>
      <c r="H826" s="22" t="s">
        <v>126</v>
      </c>
      <c r="I826" s="22" t="s">
        <v>55</v>
      </c>
      <c r="J826" s="45">
        <v>12000</v>
      </c>
      <c r="K826" s="1">
        <v>6</v>
      </c>
      <c r="L826" s="2">
        <v>0</v>
      </c>
      <c r="M826" s="45">
        <v>72000</v>
      </c>
      <c r="N826" s="45">
        <v>49590</v>
      </c>
      <c r="O826" s="45">
        <v>22410</v>
      </c>
      <c r="P826" s="3">
        <v>31.13</v>
      </c>
      <c r="Q826" s="32" t="s">
        <v>81</v>
      </c>
      <c r="R826" s="32" t="s">
        <v>56</v>
      </c>
      <c r="S826" s="32" t="s">
        <v>40</v>
      </c>
      <c r="T826" s="32" t="s">
        <v>31</v>
      </c>
      <c r="U826" s="38">
        <v>5</v>
      </c>
      <c r="V826" s="9"/>
    </row>
    <row r="827" spans="1:22" x14ac:dyDescent="0.35">
      <c r="A827" s="18" t="s">
        <v>920</v>
      </c>
      <c r="B827" s="7">
        <v>45290</v>
      </c>
      <c r="C827" s="23" t="s">
        <v>22</v>
      </c>
      <c r="D827" s="23" t="s">
        <v>23</v>
      </c>
      <c r="E827" s="23" t="s">
        <v>24</v>
      </c>
      <c r="F827" s="28">
        <v>2023</v>
      </c>
      <c r="G827" s="23" t="s">
        <v>25</v>
      </c>
      <c r="H827" s="23" t="s">
        <v>106</v>
      </c>
      <c r="I827" s="23" t="s">
        <v>38</v>
      </c>
      <c r="J827" s="46">
        <v>12000</v>
      </c>
      <c r="K827" s="4">
        <v>10</v>
      </c>
      <c r="L827" s="5">
        <v>0</v>
      </c>
      <c r="M827" s="46">
        <v>120000</v>
      </c>
      <c r="N827" s="46">
        <v>72301</v>
      </c>
      <c r="O827" s="46">
        <v>47699</v>
      </c>
      <c r="P827" s="6">
        <v>39.75</v>
      </c>
      <c r="Q827" s="33" t="s">
        <v>28</v>
      </c>
      <c r="R827" s="33" t="s">
        <v>45</v>
      </c>
      <c r="S827" s="33" t="s">
        <v>85</v>
      </c>
      <c r="T827" s="33" t="s">
        <v>31</v>
      </c>
      <c r="U827" s="39">
        <v>4</v>
      </c>
      <c r="V827" s="9"/>
    </row>
    <row r="828" spans="1:22" x14ac:dyDescent="0.35">
      <c r="A828" s="17" t="s">
        <v>921</v>
      </c>
      <c r="B828" s="8">
        <v>45649</v>
      </c>
      <c r="C828" s="22" t="s">
        <v>33</v>
      </c>
      <c r="D828" s="22" t="s">
        <v>23</v>
      </c>
      <c r="E828" s="22" t="s">
        <v>24</v>
      </c>
      <c r="F828" s="27">
        <v>2023</v>
      </c>
      <c r="G828" s="22" t="s">
        <v>36</v>
      </c>
      <c r="H828" s="22" t="s">
        <v>93</v>
      </c>
      <c r="I828" s="22" t="s">
        <v>63</v>
      </c>
      <c r="J828" s="45">
        <v>14000</v>
      </c>
      <c r="K828" s="1">
        <v>6</v>
      </c>
      <c r="L828" s="2">
        <v>0</v>
      </c>
      <c r="M828" s="45">
        <v>84000</v>
      </c>
      <c r="N828" s="45">
        <v>58022</v>
      </c>
      <c r="O828" s="45">
        <v>25978</v>
      </c>
      <c r="P828" s="3">
        <v>30.93</v>
      </c>
      <c r="Q828" s="32" t="s">
        <v>39</v>
      </c>
      <c r="R828" s="32" t="s">
        <v>56</v>
      </c>
      <c r="S828" s="32" t="s">
        <v>30</v>
      </c>
      <c r="T828" s="32" t="s">
        <v>41</v>
      </c>
      <c r="U828" s="38">
        <v>4</v>
      </c>
      <c r="V828" s="9"/>
    </row>
    <row r="829" spans="1:22" x14ac:dyDescent="0.35">
      <c r="A829" s="18" t="s">
        <v>922</v>
      </c>
      <c r="B829" s="7">
        <v>45077</v>
      </c>
      <c r="C829" s="23" t="s">
        <v>78</v>
      </c>
      <c r="D829" s="23" t="s">
        <v>110</v>
      </c>
      <c r="E829" s="23" t="s">
        <v>24</v>
      </c>
      <c r="F829" s="28">
        <v>2023</v>
      </c>
      <c r="G829" s="23" t="s">
        <v>25</v>
      </c>
      <c r="H829" s="23" t="s">
        <v>106</v>
      </c>
      <c r="I829" s="23" t="s">
        <v>38</v>
      </c>
      <c r="J829" s="46">
        <v>12000</v>
      </c>
      <c r="K829" s="4">
        <v>9</v>
      </c>
      <c r="L829" s="5">
        <v>5</v>
      </c>
      <c r="M829" s="46">
        <v>102600</v>
      </c>
      <c r="N829" s="46">
        <v>62315</v>
      </c>
      <c r="O829" s="46">
        <v>40285</v>
      </c>
      <c r="P829" s="6">
        <v>39.26</v>
      </c>
      <c r="Q829" s="33" t="s">
        <v>51</v>
      </c>
      <c r="R829" s="33" t="s">
        <v>45</v>
      </c>
      <c r="S829" s="33" t="s">
        <v>40</v>
      </c>
      <c r="T829" s="33" t="s">
        <v>31</v>
      </c>
      <c r="U829" s="39">
        <v>5</v>
      </c>
      <c r="V829" s="9"/>
    </row>
    <row r="830" spans="1:22" x14ac:dyDescent="0.35">
      <c r="A830" s="17" t="s">
        <v>923</v>
      </c>
      <c r="B830" s="8">
        <v>45205</v>
      </c>
      <c r="C830" s="22" t="s">
        <v>83</v>
      </c>
      <c r="D830" s="22" t="s">
        <v>23</v>
      </c>
      <c r="E830" s="22" t="s">
        <v>24</v>
      </c>
      <c r="F830" s="27">
        <v>2023</v>
      </c>
      <c r="G830" s="22" t="s">
        <v>61</v>
      </c>
      <c r="H830" s="22" t="s">
        <v>104</v>
      </c>
      <c r="I830" s="22" t="s">
        <v>50</v>
      </c>
      <c r="J830" s="45">
        <v>15000</v>
      </c>
      <c r="K830" s="1">
        <v>9</v>
      </c>
      <c r="L830" s="2">
        <v>5</v>
      </c>
      <c r="M830" s="45">
        <v>128250</v>
      </c>
      <c r="N830" s="45">
        <v>72659</v>
      </c>
      <c r="O830" s="45">
        <v>55591</v>
      </c>
      <c r="P830" s="3">
        <v>43.35</v>
      </c>
      <c r="Q830" s="32" t="s">
        <v>81</v>
      </c>
      <c r="R830" s="32" t="s">
        <v>29</v>
      </c>
      <c r="S830" s="32" t="s">
        <v>30</v>
      </c>
      <c r="T830" s="32" t="s">
        <v>41</v>
      </c>
      <c r="U830" s="38">
        <v>2</v>
      </c>
      <c r="V830" s="9"/>
    </row>
    <row r="831" spans="1:22" x14ac:dyDescent="0.35">
      <c r="A831" s="18" t="s">
        <v>924</v>
      </c>
      <c r="B831" s="7">
        <v>44981</v>
      </c>
      <c r="C831" s="23" t="s">
        <v>22</v>
      </c>
      <c r="D831" s="23" t="s">
        <v>108</v>
      </c>
      <c r="E831" s="23" t="s">
        <v>72</v>
      </c>
      <c r="F831" s="28">
        <v>2024</v>
      </c>
      <c r="G831" s="23" t="s">
        <v>43</v>
      </c>
      <c r="H831" s="23" t="s">
        <v>113</v>
      </c>
      <c r="I831" s="23" t="s">
        <v>38</v>
      </c>
      <c r="J831" s="46">
        <v>3500</v>
      </c>
      <c r="K831" s="4">
        <v>8</v>
      </c>
      <c r="L831" s="5">
        <v>0</v>
      </c>
      <c r="M831" s="46">
        <v>28000</v>
      </c>
      <c r="N831" s="46">
        <v>19671</v>
      </c>
      <c r="O831" s="46">
        <v>8329</v>
      </c>
      <c r="P831" s="6">
        <v>29.75</v>
      </c>
      <c r="Q831" s="33" t="s">
        <v>39</v>
      </c>
      <c r="R831" s="33" t="s">
        <v>56</v>
      </c>
      <c r="S831" s="33" t="s">
        <v>68</v>
      </c>
      <c r="T831" s="33" t="s">
        <v>41</v>
      </c>
      <c r="U831" s="39">
        <v>5</v>
      </c>
      <c r="V831" s="9"/>
    </row>
    <row r="832" spans="1:22" x14ac:dyDescent="0.35">
      <c r="A832" s="17" t="s">
        <v>925</v>
      </c>
      <c r="B832" s="8">
        <v>45416</v>
      </c>
      <c r="C832" s="22" t="s">
        <v>53</v>
      </c>
      <c r="D832" s="22" t="s">
        <v>34</v>
      </c>
      <c r="E832" s="22" t="s">
        <v>35</v>
      </c>
      <c r="F832" s="27">
        <v>2023</v>
      </c>
      <c r="G832" s="22" t="s">
        <v>25</v>
      </c>
      <c r="H832" s="22" t="s">
        <v>113</v>
      </c>
      <c r="I832" s="22" t="s">
        <v>38</v>
      </c>
      <c r="J832" s="45">
        <v>3500</v>
      </c>
      <c r="K832" s="1">
        <v>7</v>
      </c>
      <c r="L832" s="2">
        <v>15</v>
      </c>
      <c r="M832" s="45">
        <v>20825</v>
      </c>
      <c r="N832" s="45">
        <v>14433</v>
      </c>
      <c r="O832" s="45">
        <v>6392</v>
      </c>
      <c r="P832" s="3">
        <v>30.69</v>
      </c>
      <c r="Q832" s="32" t="s">
        <v>28</v>
      </c>
      <c r="R832" s="32" t="s">
        <v>76</v>
      </c>
      <c r="S832" s="32" t="s">
        <v>57</v>
      </c>
      <c r="T832" s="32" t="s">
        <v>31</v>
      </c>
      <c r="U832" s="38">
        <v>1</v>
      </c>
      <c r="V832" s="9"/>
    </row>
    <row r="833" spans="1:22" x14ac:dyDescent="0.35">
      <c r="A833" s="18" t="s">
        <v>926</v>
      </c>
      <c r="B833" s="7">
        <v>45107</v>
      </c>
      <c r="C833" s="23" t="s">
        <v>90</v>
      </c>
      <c r="D833" s="23" t="s">
        <v>116</v>
      </c>
      <c r="E833" s="23" t="s">
        <v>35</v>
      </c>
      <c r="F833" s="28">
        <v>2023</v>
      </c>
      <c r="G833" s="23" t="s">
        <v>43</v>
      </c>
      <c r="H833" s="23" t="s">
        <v>54</v>
      </c>
      <c r="I833" s="23" t="s">
        <v>55</v>
      </c>
      <c r="J833" s="46">
        <v>18000</v>
      </c>
      <c r="K833" s="4">
        <v>10</v>
      </c>
      <c r="L833" s="5">
        <v>5</v>
      </c>
      <c r="M833" s="46">
        <v>171000</v>
      </c>
      <c r="N833" s="46">
        <v>122240</v>
      </c>
      <c r="O833" s="46">
        <v>48760</v>
      </c>
      <c r="P833" s="6">
        <v>28.51</v>
      </c>
      <c r="Q833" s="33" t="s">
        <v>51</v>
      </c>
      <c r="R833" s="33" t="s">
        <v>56</v>
      </c>
      <c r="S833" s="33" t="s">
        <v>30</v>
      </c>
      <c r="T833" s="33" t="s">
        <v>31</v>
      </c>
      <c r="U833" s="39">
        <v>4</v>
      </c>
      <c r="V833" s="9"/>
    </row>
    <row r="834" spans="1:22" x14ac:dyDescent="0.35">
      <c r="A834" s="17" t="s">
        <v>927</v>
      </c>
      <c r="B834" s="8">
        <v>45219</v>
      </c>
      <c r="C834" s="22" t="s">
        <v>22</v>
      </c>
      <c r="D834" s="22" t="s">
        <v>116</v>
      </c>
      <c r="E834" s="22" t="s">
        <v>35</v>
      </c>
      <c r="F834" s="27">
        <v>2024</v>
      </c>
      <c r="G834" s="22" t="s">
        <v>61</v>
      </c>
      <c r="H834" s="22" t="s">
        <v>49</v>
      </c>
      <c r="I834" s="22" t="s">
        <v>50</v>
      </c>
      <c r="J834" s="45">
        <v>18000</v>
      </c>
      <c r="K834" s="1">
        <v>3</v>
      </c>
      <c r="L834" s="2">
        <v>15</v>
      </c>
      <c r="M834" s="45">
        <v>45900</v>
      </c>
      <c r="N834" s="45">
        <v>31060</v>
      </c>
      <c r="O834" s="45">
        <v>14840</v>
      </c>
      <c r="P834" s="3">
        <v>32.33</v>
      </c>
      <c r="Q834" s="32" t="s">
        <v>28</v>
      </c>
      <c r="R834" s="32" t="s">
        <v>67</v>
      </c>
      <c r="S834" s="32" t="s">
        <v>40</v>
      </c>
      <c r="T834" s="32" t="s">
        <v>41</v>
      </c>
      <c r="U834" s="38">
        <v>3</v>
      </c>
      <c r="V834" s="9"/>
    </row>
    <row r="835" spans="1:22" x14ac:dyDescent="0.35">
      <c r="A835" s="18" t="s">
        <v>928</v>
      </c>
      <c r="B835" s="7">
        <v>45266</v>
      </c>
      <c r="C835" s="23" t="s">
        <v>33</v>
      </c>
      <c r="D835" s="23" t="s">
        <v>47</v>
      </c>
      <c r="E835" s="23" t="s">
        <v>48</v>
      </c>
      <c r="F835" s="28">
        <v>2023</v>
      </c>
      <c r="G835" s="23" t="s">
        <v>25</v>
      </c>
      <c r="H835" s="23" t="s">
        <v>26</v>
      </c>
      <c r="I835" s="23" t="s">
        <v>27</v>
      </c>
      <c r="J835" s="46">
        <v>5000</v>
      </c>
      <c r="K835" s="4">
        <v>2</v>
      </c>
      <c r="L835" s="5">
        <v>0</v>
      </c>
      <c r="M835" s="46">
        <v>10000</v>
      </c>
      <c r="N835" s="46">
        <v>6332</v>
      </c>
      <c r="O835" s="46">
        <v>3668</v>
      </c>
      <c r="P835" s="6">
        <v>36.68</v>
      </c>
      <c r="Q835" s="33" t="s">
        <v>75</v>
      </c>
      <c r="R835" s="33" t="s">
        <v>56</v>
      </c>
      <c r="S835" s="33" t="s">
        <v>30</v>
      </c>
      <c r="T835" s="33" t="s">
        <v>41</v>
      </c>
      <c r="U835" s="39">
        <v>1</v>
      </c>
      <c r="V835" s="9"/>
    </row>
    <row r="836" spans="1:22" x14ac:dyDescent="0.35">
      <c r="A836" s="17" t="s">
        <v>929</v>
      </c>
      <c r="B836" s="8">
        <v>45582</v>
      </c>
      <c r="C836" s="22" t="s">
        <v>78</v>
      </c>
      <c r="D836" s="22" t="s">
        <v>108</v>
      </c>
      <c r="E836" s="22" t="s">
        <v>72</v>
      </c>
      <c r="F836" s="27">
        <v>2024</v>
      </c>
      <c r="G836" s="22" t="s">
        <v>43</v>
      </c>
      <c r="H836" s="22" t="s">
        <v>113</v>
      </c>
      <c r="I836" s="22" t="s">
        <v>38</v>
      </c>
      <c r="J836" s="45">
        <v>3500</v>
      </c>
      <c r="K836" s="1">
        <v>8</v>
      </c>
      <c r="L836" s="2">
        <v>15</v>
      </c>
      <c r="M836" s="45">
        <v>23800</v>
      </c>
      <c r="N836" s="45">
        <v>15933</v>
      </c>
      <c r="O836" s="45">
        <v>7867</v>
      </c>
      <c r="P836" s="3">
        <v>33.049999999999997</v>
      </c>
      <c r="Q836" s="32" t="s">
        <v>81</v>
      </c>
      <c r="R836" s="32" t="s">
        <v>29</v>
      </c>
      <c r="S836" s="32" t="s">
        <v>68</v>
      </c>
      <c r="T836" s="32" t="s">
        <v>41</v>
      </c>
      <c r="U836" s="38">
        <v>1</v>
      </c>
      <c r="V836" s="9"/>
    </row>
    <row r="837" spans="1:22" x14ac:dyDescent="0.35">
      <c r="A837" s="18" t="s">
        <v>930</v>
      </c>
      <c r="B837" s="7">
        <v>44934</v>
      </c>
      <c r="C837" s="23" t="s">
        <v>33</v>
      </c>
      <c r="D837" s="23" t="s">
        <v>71</v>
      </c>
      <c r="E837" s="23" t="s">
        <v>72</v>
      </c>
      <c r="F837" s="28">
        <v>2024</v>
      </c>
      <c r="G837" s="23" t="s">
        <v>43</v>
      </c>
      <c r="H837" s="23" t="s">
        <v>113</v>
      </c>
      <c r="I837" s="23" t="s">
        <v>38</v>
      </c>
      <c r="J837" s="46">
        <v>3500</v>
      </c>
      <c r="K837" s="4">
        <v>1</v>
      </c>
      <c r="L837" s="5">
        <v>5</v>
      </c>
      <c r="M837" s="46">
        <v>3325</v>
      </c>
      <c r="N837" s="46">
        <v>2143</v>
      </c>
      <c r="O837" s="46">
        <v>1182</v>
      </c>
      <c r="P837" s="6">
        <v>35.549999999999997</v>
      </c>
      <c r="Q837" s="33" t="s">
        <v>75</v>
      </c>
      <c r="R837" s="33" t="s">
        <v>29</v>
      </c>
      <c r="S837" s="33" t="s">
        <v>40</v>
      </c>
      <c r="T837" s="33" t="s">
        <v>31</v>
      </c>
      <c r="U837" s="39">
        <v>2</v>
      </c>
      <c r="V837" s="9"/>
    </row>
    <row r="838" spans="1:22" x14ac:dyDescent="0.35">
      <c r="A838" s="17" t="s">
        <v>931</v>
      </c>
      <c r="B838" s="8">
        <v>45637</v>
      </c>
      <c r="C838" s="22" t="s">
        <v>83</v>
      </c>
      <c r="D838" s="22" t="s">
        <v>110</v>
      </c>
      <c r="E838" s="22" t="s">
        <v>24</v>
      </c>
      <c r="F838" s="27">
        <v>2024</v>
      </c>
      <c r="G838" s="22" t="s">
        <v>43</v>
      </c>
      <c r="H838" s="22" t="s">
        <v>44</v>
      </c>
      <c r="I838" s="22" t="s">
        <v>27</v>
      </c>
      <c r="J838" s="45">
        <v>6000</v>
      </c>
      <c r="K838" s="1">
        <v>10</v>
      </c>
      <c r="L838" s="2">
        <v>15</v>
      </c>
      <c r="M838" s="45">
        <v>51000</v>
      </c>
      <c r="N838" s="45">
        <v>29610</v>
      </c>
      <c r="O838" s="45">
        <v>21390</v>
      </c>
      <c r="P838" s="3">
        <v>41.94</v>
      </c>
      <c r="Q838" s="32" t="s">
        <v>75</v>
      </c>
      <c r="R838" s="32" t="s">
        <v>67</v>
      </c>
      <c r="S838" s="32" t="s">
        <v>57</v>
      </c>
      <c r="T838" s="32" t="s">
        <v>31</v>
      </c>
      <c r="U838" s="38">
        <v>2</v>
      </c>
      <c r="V838" s="9"/>
    </row>
    <row r="839" spans="1:22" x14ac:dyDescent="0.35">
      <c r="A839" s="18" t="s">
        <v>932</v>
      </c>
      <c r="B839" s="7">
        <v>45557</v>
      </c>
      <c r="C839" s="23" t="s">
        <v>70</v>
      </c>
      <c r="D839" s="23" t="s">
        <v>108</v>
      </c>
      <c r="E839" s="23" t="s">
        <v>72</v>
      </c>
      <c r="F839" s="28">
        <v>2024</v>
      </c>
      <c r="G839" s="23" t="s">
        <v>61</v>
      </c>
      <c r="H839" s="23" t="s">
        <v>37</v>
      </c>
      <c r="I839" s="23" t="s">
        <v>38</v>
      </c>
      <c r="J839" s="46">
        <v>10000</v>
      </c>
      <c r="K839" s="4">
        <v>2</v>
      </c>
      <c r="L839" s="5">
        <v>10</v>
      </c>
      <c r="M839" s="46">
        <v>18000</v>
      </c>
      <c r="N839" s="46">
        <v>10686</v>
      </c>
      <c r="O839" s="46">
        <v>7314</v>
      </c>
      <c r="P839" s="6">
        <v>40.630000000000003</v>
      </c>
      <c r="Q839" s="33" t="s">
        <v>28</v>
      </c>
      <c r="R839" s="33" t="s">
        <v>76</v>
      </c>
      <c r="S839" s="33" t="s">
        <v>30</v>
      </c>
      <c r="T839" s="33" t="s">
        <v>41</v>
      </c>
      <c r="U839" s="39">
        <v>5</v>
      </c>
      <c r="V839" s="9"/>
    </row>
    <row r="840" spans="1:22" x14ac:dyDescent="0.35">
      <c r="A840" s="17" t="s">
        <v>933</v>
      </c>
      <c r="B840" s="8">
        <v>45624</v>
      </c>
      <c r="C840" s="22" t="s">
        <v>70</v>
      </c>
      <c r="D840" s="22" t="s">
        <v>87</v>
      </c>
      <c r="E840" s="22" t="s">
        <v>35</v>
      </c>
      <c r="F840" s="27">
        <v>2023</v>
      </c>
      <c r="G840" s="22" t="s">
        <v>25</v>
      </c>
      <c r="H840" s="22" t="s">
        <v>93</v>
      </c>
      <c r="I840" s="22" t="s">
        <v>63</v>
      </c>
      <c r="J840" s="45">
        <v>14000</v>
      </c>
      <c r="K840" s="1">
        <v>4</v>
      </c>
      <c r="L840" s="2">
        <v>0</v>
      </c>
      <c r="M840" s="45">
        <v>56000</v>
      </c>
      <c r="N840" s="45">
        <v>31240</v>
      </c>
      <c r="O840" s="45">
        <v>24760</v>
      </c>
      <c r="P840" s="3">
        <v>44.21</v>
      </c>
      <c r="Q840" s="32" t="s">
        <v>75</v>
      </c>
      <c r="R840" s="32" t="s">
        <v>45</v>
      </c>
      <c r="S840" s="32" t="s">
        <v>85</v>
      </c>
      <c r="T840" s="32" t="s">
        <v>31</v>
      </c>
      <c r="U840" s="38">
        <v>5</v>
      </c>
      <c r="V840" s="9"/>
    </row>
    <row r="841" spans="1:22" x14ac:dyDescent="0.35">
      <c r="A841" s="18" t="s">
        <v>934</v>
      </c>
      <c r="B841" s="7">
        <v>45454</v>
      </c>
      <c r="C841" s="23" t="s">
        <v>78</v>
      </c>
      <c r="D841" s="23" t="s">
        <v>116</v>
      </c>
      <c r="E841" s="23" t="s">
        <v>35</v>
      </c>
      <c r="F841" s="28">
        <v>2024</v>
      </c>
      <c r="G841" s="23" t="s">
        <v>36</v>
      </c>
      <c r="H841" s="23" t="s">
        <v>49</v>
      </c>
      <c r="I841" s="23" t="s">
        <v>50</v>
      </c>
      <c r="J841" s="46">
        <v>18000</v>
      </c>
      <c r="K841" s="4">
        <v>6</v>
      </c>
      <c r="L841" s="5">
        <v>10</v>
      </c>
      <c r="M841" s="46">
        <v>97200</v>
      </c>
      <c r="N841" s="46">
        <v>62353</v>
      </c>
      <c r="O841" s="46">
        <v>34847</v>
      </c>
      <c r="P841" s="6">
        <v>35.85</v>
      </c>
      <c r="Q841" s="33" t="s">
        <v>39</v>
      </c>
      <c r="R841" s="33" t="s">
        <v>76</v>
      </c>
      <c r="S841" s="33" t="s">
        <v>30</v>
      </c>
      <c r="T841" s="33" t="s">
        <v>31</v>
      </c>
      <c r="U841" s="39">
        <v>2</v>
      </c>
      <c r="V841" s="9"/>
    </row>
    <row r="842" spans="1:22" x14ac:dyDescent="0.35">
      <c r="A842" s="17" t="s">
        <v>935</v>
      </c>
      <c r="B842" s="8">
        <v>45459</v>
      </c>
      <c r="C842" s="22" t="s">
        <v>78</v>
      </c>
      <c r="D842" s="22" t="s">
        <v>116</v>
      </c>
      <c r="E842" s="22" t="s">
        <v>35</v>
      </c>
      <c r="F842" s="27">
        <v>2023</v>
      </c>
      <c r="G842" s="22" t="s">
        <v>36</v>
      </c>
      <c r="H842" s="22" t="s">
        <v>104</v>
      </c>
      <c r="I842" s="22" t="s">
        <v>50</v>
      </c>
      <c r="J842" s="45">
        <v>15000</v>
      </c>
      <c r="K842" s="1">
        <v>3</v>
      </c>
      <c r="L842" s="2">
        <v>10</v>
      </c>
      <c r="M842" s="45">
        <v>40500</v>
      </c>
      <c r="N842" s="45">
        <v>26076</v>
      </c>
      <c r="O842" s="45">
        <v>14424</v>
      </c>
      <c r="P842" s="3">
        <v>35.61</v>
      </c>
      <c r="Q842" s="32" t="s">
        <v>75</v>
      </c>
      <c r="R842" s="32" t="s">
        <v>45</v>
      </c>
      <c r="S842" s="32" t="s">
        <v>57</v>
      </c>
      <c r="T842" s="32" t="s">
        <v>41</v>
      </c>
      <c r="U842" s="38">
        <v>1</v>
      </c>
      <c r="V842" s="9"/>
    </row>
    <row r="843" spans="1:22" x14ac:dyDescent="0.35">
      <c r="A843" s="18" t="s">
        <v>936</v>
      </c>
      <c r="B843" s="7">
        <v>45333</v>
      </c>
      <c r="C843" s="23" t="s">
        <v>22</v>
      </c>
      <c r="D843" s="23" t="s">
        <v>71</v>
      </c>
      <c r="E843" s="23" t="s">
        <v>72</v>
      </c>
      <c r="F843" s="28">
        <v>2024</v>
      </c>
      <c r="G843" s="23" t="s">
        <v>61</v>
      </c>
      <c r="H843" s="23" t="s">
        <v>145</v>
      </c>
      <c r="I843" s="23" t="s">
        <v>50</v>
      </c>
      <c r="J843" s="46">
        <v>12000</v>
      </c>
      <c r="K843" s="4">
        <v>7</v>
      </c>
      <c r="L843" s="5">
        <v>15</v>
      </c>
      <c r="M843" s="46">
        <v>71400</v>
      </c>
      <c r="N843" s="46">
        <v>50239</v>
      </c>
      <c r="O843" s="46">
        <v>21161</v>
      </c>
      <c r="P843" s="6">
        <v>29.64</v>
      </c>
      <c r="Q843" s="33" t="s">
        <v>51</v>
      </c>
      <c r="R843" s="33" t="s">
        <v>67</v>
      </c>
      <c r="S843" s="33" t="s">
        <v>30</v>
      </c>
      <c r="T843" s="33" t="s">
        <v>41</v>
      </c>
      <c r="U843" s="39">
        <v>2</v>
      </c>
      <c r="V843" s="9"/>
    </row>
    <row r="844" spans="1:22" x14ac:dyDescent="0.35">
      <c r="A844" s="17" t="s">
        <v>937</v>
      </c>
      <c r="B844" s="8">
        <v>44960</v>
      </c>
      <c r="C844" s="22" t="s">
        <v>83</v>
      </c>
      <c r="D844" s="22" t="s">
        <v>71</v>
      </c>
      <c r="E844" s="22" t="s">
        <v>72</v>
      </c>
      <c r="F844" s="27">
        <v>2024</v>
      </c>
      <c r="G844" s="22" t="s">
        <v>36</v>
      </c>
      <c r="H844" s="22" t="s">
        <v>106</v>
      </c>
      <c r="I844" s="22" t="s">
        <v>38</v>
      </c>
      <c r="J844" s="45">
        <v>12000</v>
      </c>
      <c r="K844" s="1">
        <v>5</v>
      </c>
      <c r="L844" s="2">
        <v>15</v>
      </c>
      <c r="M844" s="45">
        <v>51000</v>
      </c>
      <c r="N844" s="45">
        <v>34091</v>
      </c>
      <c r="O844" s="45">
        <v>16909</v>
      </c>
      <c r="P844" s="3">
        <v>33.15</v>
      </c>
      <c r="Q844" s="32" t="s">
        <v>39</v>
      </c>
      <c r="R844" s="32" t="s">
        <v>45</v>
      </c>
      <c r="S844" s="32" t="s">
        <v>85</v>
      </c>
      <c r="T844" s="32" t="s">
        <v>41</v>
      </c>
      <c r="U844" s="38">
        <v>2</v>
      </c>
      <c r="V844" s="9"/>
    </row>
    <row r="845" spans="1:22" x14ac:dyDescent="0.35">
      <c r="A845" s="18" t="s">
        <v>938</v>
      </c>
      <c r="B845" s="7">
        <v>45010</v>
      </c>
      <c r="C845" s="23" t="s">
        <v>90</v>
      </c>
      <c r="D845" s="23" t="s">
        <v>110</v>
      </c>
      <c r="E845" s="23" t="s">
        <v>24</v>
      </c>
      <c r="F845" s="28">
        <v>2023</v>
      </c>
      <c r="G845" s="23" t="s">
        <v>43</v>
      </c>
      <c r="H845" s="23" t="s">
        <v>98</v>
      </c>
      <c r="I845" s="23" t="s">
        <v>63</v>
      </c>
      <c r="J845" s="46">
        <v>28000</v>
      </c>
      <c r="K845" s="4">
        <v>1</v>
      </c>
      <c r="L845" s="5">
        <v>10</v>
      </c>
      <c r="M845" s="46">
        <v>25200</v>
      </c>
      <c r="N845" s="46">
        <v>14920</v>
      </c>
      <c r="O845" s="46">
        <v>10280</v>
      </c>
      <c r="P845" s="6">
        <v>40.79</v>
      </c>
      <c r="Q845" s="33" t="s">
        <v>81</v>
      </c>
      <c r="R845" s="33" t="s">
        <v>76</v>
      </c>
      <c r="S845" s="33" t="s">
        <v>85</v>
      </c>
      <c r="T845" s="33" t="s">
        <v>41</v>
      </c>
      <c r="U845" s="39">
        <v>1</v>
      </c>
      <c r="V845" s="9"/>
    </row>
    <row r="846" spans="1:22" x14ac:dyDescent="0.35">
      <c r="A846" s="17" t="s">
        <v>939</v>
      </c>
      <c r="B846" s="8">
        <v>44951</v>
      </c>
      <c r="C846" s="22" t="s">
        <v>90</v>
      </c>
      <c r="D846" s="22" t="s">
        <v>97</v>
      </c>
      <c r="E846" s="22" t="s">
        <v>24</v>
      </c>
      <c r="F846" s="27">
        <v>2023</v>
      </c>
      <c r="G846" s="22" t="s">
        <v>43</v>
      </c>
      <c r="H846" s="22" t="s">
        <v>84</v>
      </c>
      <c r="I846" s="22" t="s">
        <v>27</v>
      </c>
      <c r="J846" s="45">
        <v>8000</v>
      </c>
      <c r="K846" s="1">
        <v>6</v>
      </c>
      <c r="L846" s="2">
        <v>20</v>
      </c>
      <c r="M846" s="45">
        <v>38400</v>
      </c>
      <c r="N846" s="45">
        <v>22904</v>
      </c>
      <c r="O846" s="45">
        <v>15496</v>
      </c>
      <c r="P846" s="3">
        <v>40.35</v>
      </c>
      <c r="Q846" s="32" t="s">
        <v>39</v>
      </c>
      <c r="R846" s="32" t="s">
        <v>45</v>
      </c>
      <c r="S846" s="32" t="s">
        <v>30</v>
      </c>
      <c r="T846" s="32" t="s">
        <v>41</v>
      </c>
      <c r="U846" s="38">
        <v>2</v>
      </c>
      <c r="V846" s="9"/>
    </row>
    <row r="847" spans="1:22" x14ac:dyDescent="0.35">
      <c r="A847" s="18" t="s">
        <v>940</v>
      </c>
      <c r="B847" s="7">
        <v>45121</v>
      </c>
      <c r="C847" s="23" t="s">
        <v>83</v>
      </c>
      <c r="D847" s="23" t="s">
        <v>47</v>
      </c>
      <c r="E847" s="23" t="s">
        <v>48</v>
      </c>
      <c r="F847" s="28">
        <v>2024</v>
      </c>
      <c r="G847" s="23" t="s">
        <v>43</v>
      </c>
      <c r="H847" s="23" t="s">
        <v>26</v>
      </c>
      <c r="I847" s="23" t="s">
        <v>27</v>
      </c>
      <c r="J847" s="46">
        <v>5000</v>
      </c>
      <c r="K847" s="4">
        <v>3</v>
      </c>
      <c r="L847" s="5">
        <v>10</v>
      </c>
      <c r="M847" s="46">
        <v>13500</v>
      </c>
      <c r="N847" s="46">
        <v>9097</v>
      </c>
      <c r="O847" s="46">
        <v>4403</v>
      </c>
      <c r="P847" s="6">
        <v>32.61</v>
      </c>
      <c r="Q847" s="33" t="s">
        <v>81</v>
      </c>
      <c r="R847" s="33" t="s">
        <v>29</v>
      </c>
      <c r="S847" s="33" t="s">
        <v>40</v>
      </c>
      <c r="T847" s="33" t="s">
        <v>41</v>
      </c>
      <c r="U847" s="39">
        <v>5</v>
      </c>
      <c r="V847" s="9"/>
    </row>
    <row r="848" spans="1:22" x14ac:dyDescent="0.35">
      <c r="A848" s="17" t="s">
        <v>941</v>
      </c>
      <c r="B848" s="8">
        <v>44962</v>
      </c>
      <c r="C848" s="22" t="s">
        <v>90</v>
      </c>
      <c r="D848" s="22" t="s">
        <v>23</v>
      </c>
      <c r="E848" s="22" t="s">
        <v>24</v>
      </c>
      <c r="F848" s="27">
        <v>2023</v>
      </c>
      <c r="G848" s="22" t="s">
        <v>36</v>
      </c>
      <c r="H848" s="22" t="s">
        <v>54</v>
      </c>
      <c r="I848" s="22" t="s">
        <v>55</v>
      </c>
      <c r="J848" s="45">
        <v>18000</v>
      </c>
      <c r="K848" s="1">
        <v>10</v>
      </c>
      <c r="L848" s="2">
        <v>0</v>
      </c>
      <c r="M848" s="45">
        <v>180000</v>
      </c>
      <c r="N848" s="45">
        <v>126435</v>
      </c>
      <c r="O848" s="45">
        <v>53565</v>
      </c>
      <c r="P848" s="3">
        <v>29.76</v>
      </c>
      <c r="Q848" s="32" t="s">
        <v>39</v>
      </c>
      <c r="R848" s="32" t="s">
        <v>45</v>
      </c>
      <c r="S848" s="32" t="s">
        <v>40</v>
      </c>
      <c r="T848" s="32" t="s">
        <v>41</v>
      </c>
      <c r="U848" s="38">
        <v>5</v>
      </c>
      <c r="V848" s="9"/>
    </row>
    <row r="849" spans="1:22" x14ac:dyDescent="0.35">
      <c r="A849" s="18" t="s">
        <v>942</v>
      </c>
      <c r="B849" s="7">
        <v>45443</v>
      </c>
      <c r="C849" s="23" t="s">
        <v>33</v>
      </c>
      <c r="D849" s="23" t="s">
        <v>71</v>
      </c>
      <c r="E849" s="23" t="s">
        <v>72</v>
      </c>
      <c r="F849" s="28">
        <v>2024</v>
      </c>
      <c r="G849" s="23" t="s">
        <v>36</v>
      </c>
      <c r="H849" s="23" t="s">
        <v>126</v>
      </c>
      <c r="I849" s="23" t="s">
        <v>55</v>
      </c>
      <c r="J849" s="46">
        <v>12000</v>
      </c>
      <c r="K849" s="4">
        <v>8</v>
      </c>
      <c r="L849" s="5">
        <v>10</v>
      </c>
      <c r="M849" s="46">
        <v>86400</v>
      </c>
      <c r="N849" s="46">
        <v>49394</v>
      </c>
      <c r="O849" s="46">
        <v>37006</v>
      </c>
      <c r="P849" s="6">
        <v>42.83</v>
      </c>
      <c r="Q849" s="33" t="s">
        <v>28</v>
      </c>
      <c r="R849" s="33" t="s">
        <v>29</v>
      </c>
      <c r="S849" s="33" t="s">
        <v>68</v>
      </c>
      <c r="T849" s="33" t="s">
        <v>31</v>
      </c>
      <c r="U849" s="39">
        <v>4</v>
      </c>
      <c r="V849" s="9"/>
    </row>
    <row r="850" spans="1:22" x14ac:dyDescent="0.35">
      <c r="A850" s="17" t="s">
        <v>943</v>
      </c>
      <c r="B850" s="8">
        <v>45235</v>
      </c>
      <c r="C850" s="22" t="s">
        <v>70</v>
      </c>
      <c r="D850" s="22" t="s">
        <v>108</v>
      </c>
      <c r="E850" s="22" t="s">
        <v>72</v>
      </c>
      <c r="F850" s="27">
        <v>2024</v>
      </c>
      <c r="G850" s="22" t="s">
        <v>36</v>
      </c>
      <c r="H850" s="22" t="s">
        <v>117</v>
      </c>
      <c r="I850" s="22" t="s">
        <v>50</v>
      </c>
      <c r="J850" s="45">
        <v>8000</v>
      </c>
      <c r="K850" s="1">
        <v>6</v>
      </c>
      <c r="L850" s="2">
        <v>15</v>
      </c>
      <c r="M850" s="45">
        <v>40800</v>
      </c>
      <c r="N850" s="45">
        <v>27833</v>
      </c>
      <c r="O850" s="45">
        <v>12967</v>
      </c>
      <c r="P850" s="3">
        <v>31.78</v>
      </c>
      <c r="Q850" s="32" t="s">
        <v>75</v>
      </c>
      <c r="R850" s="32" t="s">
        <v>67</v>
      </c>
      <c r="S850" s="32" t="s">
        <v>40</v>
      </c>
      <c r="T850" s="32" t="s">
        <v>41</v>
      </c>
      <c r="U850" s="38">
        <v>3</v>
      </c>
      <c r="V850" s="9"/>
    </row>
    <row r="851" spans="1:22" x14ac:dyDescent="0.35">
      <c r="A851" s="18" t="s">
        <v>944</v>
      </c>
      <c r="B851" s="7">
        <v>45586</v>
      </c>
      <c r="C851" s="23" t="s">
        <v>22</v>
      </c>
      <c r="D851" s="23" t="s">
        <v>34</v>
      </c>
      <c r="E851" s="23" t="s">
        <v>35</v>
      </c>
      <c r="F851" s="28">
        <v>2024</v>
      </c>
      <c r="G851" s="23" t="s">
        <v>61</v>
      </c>
      <c r="H851" s="23" t="s">
        <v>54</v>
      </c>
      <c r="I851" s="23" t="s">
        <v>55</v>
      </c>
      <c r="J851" s="46">
        <v>18000</v>
      </c>
      <c r="K851" s="4">
        <v>5</v>
      </c>
      <c r="L851" s="5">
        <v>5</v>
      </c>
      <c r="M851" s="46">
        <v>85500</v>
      </c>
      <c r="N851" s="46">
        <v>54592</v>
      </c>
      <c r="O851" s="46">
        <v>30908</v>
      </c>
      <c r="P851" s="6">
        <v>36.15</v>
      </c>
      <c r="Q851" s="33" t="s">
        <v>39</v>
      </c>
      <c r="R851" s="33" t="s">
        <v>45</v>
      </c>
      <c r="S851" s="33" t="s">
        <v>30</v>
      </c>
      <c r="T851" s="33" t="s">
        <v>41</v>
      </c>
      <c r="U851" s="39">
        <v>3</v>
      </c>
      <c r="V851" s="9"/>
    </row>
    <row r="852" spans="1:22" x14ac:dyDescent="0.35">
      <c r="A852" s="17" t="s">
        <v>945</v>
      </c>
      <c r="B852" s="8">
        <v>45158</v>
      </c>
      <c r="C852" s="22" t="s">
        <v>90</v>
      </c>
      <c r="D852" s="22" t="s">
        <v>34</v>
      </c>
      <c r="E852" s="22" t="s">
        <v>35</v>
      </c>
      <c r="F852" s="27">
        <v>2023</v>
      </c>
      <c r="G852" s="22" t="s">
        <v>25</v>
      </c>
      <c r="H852" s="22" t="s">
        <v>26</v>
      </c>
      <c r="I852" s="22" t="s">
        <v>27</v>
      </c>
      <c r="J852" s="45">
        <v>5000</v>
      </c>
      <c r="K852" s="1">
        <v>4</v>
      </c>
      <c r="L852" s="2">
        <v>0</v>
      </c>
      <c r="M852" s="45">
        <v>20000</v>
      </c>
      <c r="N852" s="45">
        <v>11561</v>
      </c>
      <c r="O852" s="45">
        <v>8439</v>
      </c>
      <c r="P852" s="3">
        <v>42.2</v>
      </c>
      <c r="Q852" s="32" t="s">
        <v>28</v>
      </c>
      <c r="R852" s="32" t="s">
        <v>76</v>
      </c>
      <c r="S852" s="32" t="s">
        <v>57</v>
      </c>
      <c r="T852" s="32" t="s">
        <v>31</v>
      </c>
      <c r="U852" s="38">
        <v>4</v>
      </c>
      <c r="V852" s="9"/>
    </row>
    <row r="853" spans="1:22" x14ac:dyDescent="0.35">
      <c r="A853" s="18" t="s">
        <v>946</v>
      </c>
      <c r="B853" s="7">
        <v>45189</v>
      </c>
      <c r="C853" s="23" t="s">
        <v>70</v>
      </c>
      <c r="D853" s="23" t="s">
        <v>110</v>
      </c>
      <c r="E853" s="23" t="s">
        <v>24</v>
      </c>
      <c r="F853" s="28">
        <v>2024</v>
      </c>
      <c r="G853" s="23" t="s">
        <v>43</v>
      </c>
      <c r="H853" s="23" t="s">
        <v>186</v>
      </c>
      <c r="I853" s="23" t="s">
        <v>55</v>
      </c>
      <c r="J853" s="46">
        <v>20000</v>
      </c>
      <c r="K853" s="4">
        <v>8</v>
      </c>
      <c r="L853" s="5">
        <v>5</v>
      </c>
      <c r="M853" s="46">
        <v>152000</v>
      </c>
      <c r="N853" s="46">
        <v>96908</v>
      </c>
      <c r="O853" s="46">
        <v>55092</v>
      </c>
      <c r="P853" s="6">
        <v>36.24</v>
      </c>
      <c r="Q853" s="33" t="s">
        <v>75</v>
      </c>
      <c r="R853" s="33" t="s">
        <v>76</v>
      </c>
      <c r="S853" s="33" t="s">
        <v>40</v>
      </c>
      <c r="T853" s="33" t="s">
        <v>31</v>
      </c>
      <c r="U853" s="39">
        <v>1</v>
      </c>
      <c r="V853" s="9"/>
    </row>
    <row r="854" spans="1:22" x14ac:dyDescent="0.35">
      <c r="A854" s="17" t="s">
        <v>947</v>
      </c>
      <c r="B854" s="8">
        <v>45617</v>
      </c>
      <c r="C854" s="22" t="s">
        <v>90</v>
      </c>
      <c r="D854" s="22" t="s">
        <v>65</v>
      </c>
      <c r="E854" s="22" t="s">
        <v>48</v>
      </c>
      <c r="F854" s="27">
        <v>2024</v>
      </c>
      <c r="G854" s="22" t="s">
        <v>25</v>
      </c>
      <c r="H854" s="22" t="s">
        <v>54</v>
      </c>
      <c r="I854" s="22" t="s">
        <v>55</v>
      </c>
      <c r="J854" s="45">
        <v>18000</v>
      </c>
      <c r="K854" s="1">
        <v>4</v>
      </c>
      <c r="L854" s="2">
        <v>15</v>
      </c>
      <c r="M854" s="45">
        <v>61200</v>
      </c>
      <c r="N854" s="45">
        <v>40539</v>
      </c>
      <c r="O854" s="45">
        <v>20661</v>
      </c>
      <c r="P854" s="3">
        <v>33.76</v>
      </c>
      <c r="Q854" s="32" t="s">
        <v>75</v>
      </c>
      <c r="R854" s="32" t="s">
        <v>29</v>
      </c>
      <c r="S854" s="32" t="s">
        <v>30</v>
      </c>
      <c r="T854" s="32" t="s">
        <v>31</v>
      </c>
      <c r="U854" s="38">
        <v>5</v>
      </c>
      <c r="V854" s="9"/>
    </row>
    <row r="855" spans="1:22" x14ac:dyDescent="0.35">
      <c r="A855" s="18" t="s">
        <v>948</v>
      </c>
      <c r="B855" s="7">
        <v>45238</v>
      </c>
      <c r="C855" s="23" t="s">
        <v>53</v>
      </c>
      <c r="D855" s="23" t="s">
        <v>108</v>
      </c>
      <c r="E855" s="23" t="s">
        <v>72</v>
      </c>
      <c r="F855" s="28">
        <v>2023</v>
      </c>
      <c r="G855" s="23" t="s">
        <v>25</v>
      </c>
      <c r="H855" s="23" t="s">
        <v>106</v>
      </c>
      <c r="I855" s="23" t="s">
        <v>38</v>
      </c>
      <c r="J855" s="46">
        <v>12000</v>
      </c>
      <c r="K855" s="4">
        <v>6</v>
      </c>
      <c r="L855" s="5">
        <v>20</v>
      </c>
      <c r="M855" s="46">
        <v>57600</v>
      </c>
      <c r="N855" s="46">
        <v>32985</v>
      </c>
      <c r="O855" s="46">
        <v>24615</v>
      </c>
      <c r="P855" s="6">
        <v>42.73</v>
      </c>
      <c r="Q855" s="33" t="s">
        <v>81</v>
      </c>
      <c r="R855" s="33" t="s">
        <v>76</v>
      </c>
      <c r="S855" s="33" t="s">
        <v>40</v>
      </c>
      <c r="T855" s="33" t="s">
        <v>41</v>
      </c>
      <c r="U855" s="39">
        <v>2</v>
      </c>
      <c r="V855" s="9"/>
    </row>
    <row r="856" spans="1:22" x14ac:dyDescent="0.35">
      <c r="A856" s="17" t="s">
        <v>949</v>
      </c>
      <c r="B856" s="8">
        <v>45493</v>
      </c>
      <c r="C856" s="22" t="s">
        <v>33</v>
      </c>
      <c r="D856" s="22" t="s">
        <v>47</v>
      </c>
      <c r="E856" s="22" t="s">
        <v>48</v>
      </c>
      <c r="F856" s="27">
        <v>2024</v>
      </c>
      <c r="G856" s="22" t="s">
        <v>25</v>
      </c>
      <c r="H856" s="22" t="s">
        <v>84</v>
      </c>
      <c r="I856" s="22" t="s">
        <v>27</v>
      </c>
      <c r="J856" s="45">
        <v>8000</v>
      </c>
      <c r="K856" s="1">
        <v>4</v>
      </c>
      <c r="L856" s="2">
        <v>20</v>
      </c>
      <c r="M856" s="45">
        <v>25600</v>
      </c>
      <c r="N856" s="45">
        <v>16426</v>
      </c>
      <c r="O856" s="45">
        <v>9174</v>
      </c>
      <c r="P856" s="3">
        <v>35.840000000000003</v>
      </c>
      <c r="Q856" s="32" t="s">
        <v>28</v>
      </c>
      <c r="R856" s="32" t="s">
        <v>45</v>
      </c>
      <c r="S856" s="32" t="s">
        <v>57</v>
      </c>
      <c r="T856" s="32" t="s">
        <v>41</v>
      </c>
      <c r="U856" s="38">
        <v>3</v>
      </c>
      <c r="V856" s="9"/>
    </row>
    <row r="857" spans="1:22" x14ac:dyDescent="0.35">
      <c r="A857" s="18" t="s">
        <v>950</v>
      </c>
      <c r="B857" s="7">
        <v>45028</v>
      </c>
      <c r="C857" s="23" t="s">
        <v>90</v>
      </c>
      <c r="D857" s="23" t="s">
        <v>108</v>
      </c>
      <c r="E857" s="23" t="s">
        <v>72</v>
      </c>
      <c r="F857" s="28">
        <v>2023</v>
      </c>
      <c r="G857" s="23" t="s">
        <v>25</v>
      </c>
      <c r="H857" s="23" t="s">
        <v>101</v>
      </c>
      <c r="I857" s="23" t="s">
        <v>27</v>
      </c>
      <c r="J857" s="46">
        <v>9000</v>
      </c>
      <c r="K857" s="4">
        <v>7</v>
      </c>
      <c r="L857" s="5">
        <v>0</v>
      </c>
      <c r="M857" s="46">
        <v>63000</v>
      </c>
      <c r="N857" s="46">
        <v>44536</v>
      </c>
      <c r="O857" s="46">
        <v>18464</v>
      </c>
      <c r="P857" s="6">
        <v>29.31</v>
      </c>
      <c r="Q857" s="33" t="s">
        <v>75</v>
      </c>
      <c r="R857" s="33" t="s">
        <v>76</v>
      </c>
      <c r="S857" s="33" t="s">
        <v>40</v>
      </c>
      <c r="T857" s="33" t="s">
        <v>31</v>
      </c>
      <c r="U857" s="39">
        <v>3</v>
      </c>
      <c r="V857" s="9"/>
    </row>
    <row r="858" spans="1:22" x14ac:dyDescent="0.35">
      <c r="A858" s="17" t="s">
        <v>951</v>
      </c>
      <c r="B858" s="8">
        <v>45494</v>
      </c>
      <c r="C858" s="22" t="s">
        <v>53</v>
      </c>
      <c r="D858" s="22" t="s">
        <v>47</v>
      </c>
      <c r="E858" s="22" t="s">
        <v>48</v>
      </c>
      <c r="F858" s="27">
        <v>2023</v>
      </c>
      <c r="G858" s="22" t="s">
        <v>25</v>
      </c>
      <c r="H858" s="22" t="s">
        <v>126</v>
      </c>
      <c r="I858" s="22" t="s">
        <v>55</v>
      </c>
      <c r="J858" s="45">
        <v>12000</v>
      </c>
      <c r="K858" s="1">
        <v>6</v>
      </c>
      <c r="L858" s="2">
        <v>0</v>
      </c>
      <c r="M858" s="45">
        <v>72000</v>
      </c>
      <c r="N858" s="45">
        <v>43932</v>
      </c>
      <c r="O858" s="45">
        <v>28068</v>
      </c>
      <c r="P858" s="3">
        <v>38.979999999999997</v>
      </c>
      <c r="Q858" s="32" t="s">
        <v>28</v>
      </c>
      <c r="R858" s="32" t="s">
        <v>45</v>
      </c>
      <c r="S858" s="32" t="s">
        <v>68</v>
      </c>
      <c r="T858" s="32" t="s">
        <v>41</v>
      </c>
      <c r="U858" s="38">
        <v>1</v>
      </c>
      <c r="V858" s="9"/>
    </row>
    <row r="859" spans="1:22" x14ac:dyDescent="0.35">
      <c r="A859" s="18" t="s">
        <v>952</v>
      </c>
      <c r="B859" s="7">
        <v>45598</v>
      </c>
      <c r="C859" s="23" t="s">
        <v>78</v>
      </c>
      <c r="D859" s="23" t="s">
        <v>34</v>
      </c>
      <c r="E859" s="23" t="s">
        <v>35</v>
      </c>
      <c r="F859" s="28">
        <v>2023</v>
      </c>
      <c r="G859" s="23" t="s">
        <v>25</v>
      </c>
      <c r="H859" s="23" t="s">
        <v>98</v>
      </c>
      <c r="I859" s="23" t="s">
        <v>63</v>
      </c>
      <c r="J859" s="46">
        <v>28000</v>
      </c>
      <c r="K859" s="4">
        <v>4</v>
      </c>
      <c r="L859" s="5">
        <v>0</v>
      </c>
      <c r="M859" s="46">
        <v>112000</v>
      </c>
      <c r="N859" s="46">
        <v>71674</v>
      </c>
      <c r="O859" s="46">
        <v>40326</v>
      </c>
      <c r="P859" s="6">
        <v>36.01</v>
      </c>
      <c r="Q859" s="33" t="s">
        <v>39</v>
      </c>
      <c r="R859" s="33" t="s">
        <v>67</v>
      </c>
      <c r="S859" s="33" t="s">
        <v>30</v>
      </c>
      <c r="T859" s="33" t="s">
        <v>31</v>
      </c>
      <c r="U859" s="39">
        <v>2</v>
      </c>
      <c r="V859" s="9"/>
    </row>
    <row r="860" spans="1:22" x14ac:dyDescent="0.35">
      <c r="A860" s="17" t="s">
        <v>953</v>
      </c>
      <c r="B860" s="8">
        <v>45487</v>
      </c>
      <c r="C860" s="22" t="s">
        <v>70</v>
      </c>
      <c r="D860" s="22" t="s">
        <v>110</v>
      </c>
      <c r="E860" s="22" t="s">
        <v>24</v>
      </c>
      <c r="F860" s="27">
        <v>2024</v>
      </c>
      <c r="G860" s="22" t="s">
        <v>61</v>
      </c>
      <c r="H860" s="22" t="s">
        <v>104</v>
      </c>
      <c r="I860" s="22" t="s">
        <v>50</v>
      </c>
      <c r="J860" s="45">
        <v>15000</v>
      </c>
      <c r="K860" s="1">
        <v>8</v>
      </c>
      <c r="L860" s="2">
        <v>5</v>
      </c>
      <c r="M860" s="45">
        <v>114000</v>
      </c>
      <c r="N860" s="45">
        <v>69954</v>
      </c>
      <c r="O860" s="45">
        <v>44046</v>
      </c>
      <c r="P860" s="3">
        <v>38.64</v>
      </c>
      <c r="Q860" s="32" t="s">
        <v>81</v>
      </c>
      <c r="R860" s="32" t="s">
        <v>67</v>
      </c>
      <c r="S860" s="32" t="s">
        <v>68</v>
      </c>
      <c r="T860" s="32" t="s">
        <v>31</v>
      </c>
      <c r="U860" s="38">
        <v>4</v>
      </c>
      <c r="V860" s="9"/>
    </row>
    <row r="861" spans="1:22" x14ac:dyDescent="0.35">
      <c r="A861" s="18" t="s">
        <v>954</v>
      </c>
      <c r="B861" s="7">
        <v>45068</v>
      </c>
      <c r="C861" s="23" t="s">
        <v>70</v>
      </c>
      <c r="D861" s="23" t="s">
        <v>110</v>
      </c>
      <c r="E861" s="23" t="s">
        <v>24</v>
      </c>
      <c r="F861" s="28">
        <v>2024</v>
      </c>
      <c r="G861" s="23" t="s">
        <v>43</v>
      </c>
      <c r="H861" s="23" t="s">
        <v>131</v>
      </c>
      <c r="I861" s="23" t="s">
        <v>63</v>
      </c>
      <c r="J861" s="46">
        <v>10000</v>
      </c>
      <c r="K861" s="4">
        <v>3</v>
      </c>
      <c r="L861" s="5">
        <v>0</v>
      </c>
      <c r="M861" s="46">
        <v>30000</v>
      </c>
      <c r="N861" s="46">
        <v>20310</v>
      </c>
      <c r="O861" s="46">
        <v>9690</v>
      </c>
      <c r="P861" s="6">
        <v>32.299999999999997</v>
      </c>
      <c r="Q861" s="33" t="s">
        <v>28</v>
      </c>
      <c r="R861" s="33" t="s">
        <v>45</v>
      </c>
      <c r="S861" s="33" t="s">
        <v>68</v>
      </c>
      <c r="T861" s="33" t="s">
        <v>31</v>
      </c>
      <c r="U861" s="39">
        <v>3</v>
      </c>
      <c r="V861" s="9"/>
    </row>
    <row r="862" spans="1:22" x14ac:dyDescent="0.35">
      <c r="A862" s="17" t="s">
        <v>955</v>
      </c>
      <c r="B862" s="8">
        <v>44934</v>
      </c>
      <c r="C862" s="22" t="s">
        <v>53</v>
      </c>
      <c r="D862" s="22" t="s">
        <v>74</v>
      </c>
      <c r="E862" s="22" t="s">
        <v>48</v>
      </c>
      <c r="F862" s="27">
        <v>2023</v>
      </c>
      <c r="G862" s="22" t="s">
        <v>25</v>
      </c>
      <c r="H862" s="22" t="s">
        <v>113</v>
      </c>
      <c r="I862" s="22" t="s">
        <v>38</v>
      </c>
      <c r="J862" s="45">
        <v>3500</v>
      </c>
      <c r="K862" s="1">
        <v>7</v>
      </c>
      <c r="L862" s="2">
        <v>15</v>
      </c>
      <c r="M862" s="45">
        <v>20825</v>
      </c>
      <c r="N862" s="45">
        <v>12626</v>
      </c>
      <c r="O862" s="45">
        <v>8199</v>
      </c>
      <c r="P862" s="3">
        <v>39.369999999999997</v>
      </c>
      <c r="Q862" s="32" t="s">
        <v>28</v>
      </c>
      <c r="R862" s="32" t="s">
        <v>56</v>
      </c>
      <c r="S862" s="32" t="s">
        <v>68</v>
      </c>
      <c r="T862" s="32" t="s">
        <v>41</v>
      </c>
      <c r="U862" s="38">
        <v>1</v>
      </c>
      <c r="V862" s="9"/>
    </row>
    <row r="863" spans="1:22" x14ac:dyDescent="0.35">
      <c r="A863" s="18" t="s">
        <v>956</v>
      </c>
      <c r="B863" s="7">
        <v>45037</v>
      </c>
      <c r="C863" s="23" t="s">
        <v>33</v>
      </c>
      <c r="D863" s="23" t="s">
        <v>65</v>
      </c>
      <c r="E863" s="23" t="s">
        <v>48</v>
      </c>
      <c r="F863" s="28">
        <v>2024</v>
      </c>
      <c r="G863" s="23" t="s">
        <v>25</v>
      </c>
      <c r="H863" s="23" t="s">
        <v>119</v>
      </c>
      <c r="I863" s="23" t="s">
        <v>63</v>
      </c>
      <c r="J863" s="46">
        <v>16000</v>
      </c>
      <c r="K863" s="4">
        <v>8</v>
      </c>
      <c r="L863" s="5">
        <v>20</v>
      </c>
      <c r="M863" s="46">
        <v>102400</v>
      </c>
      <c r="N863" s="46">
        <v>68188</v>
      </c>
      <c r="O863" s="46">
        <v>34212</v>
      </c>
      <c r="P863" s="6">
        <v>33.409999999999997</v>
      </c>
      <c r="Q863" s="33" t="s">
        <v>39</v>
      </c>
      <c r="R863" s="33" t="s">
        <v>45</v>
      </c>
      <c r="S863" s="33" t="s">
        <v>40</v>
      </c>
      <c r="T863" s="33" t="s">
        <v>31</v>
      </c>
      <c r="U863" s="39">
        <v>1</v>
      </c>
      <c r="V863" s="9"/>
    </row>
    <row r="864" spans="1:22" x14ac:dyDescent="0.35">
      <c r="A864" s="17" t="s">
        <v>957</v>
      </c>
      <c r="B864" s="8">
        <v>45321</v>
      </c>
      <c r="C864" s="22" t="s">
        <v>78</v>
      </c>
      <c r="D864" s="22" t="s">
        <v>34</v>
      </c>
      <c r="E864" s="22" t="s">
        <v>35</v>
      </c>
      <c r="F864" s="27">
        <v>2023</v>
      </c>
      <c r="G864" s="22" t="s">
        <v>25</v>
      </c>
      <c r="H864" s="22" t="s">
        <v>44</v>
      </c>
      <c r="I864" s="22" t="s">
        <v>27</v>
      </c>
      <c r="J864" s="45">
        <v>6000</v>
      </c>
      <c r="K864" s="1">
        <v>3</v>
      </c>
      <c r="L864" s="2">
        <v>0</v>
      </c>
      <c r="M864" s="45">
        <v>18000</v>
      </c>
      <c r="N864" s="45">
        <v>11430</v>
      </c>
      <c r="O864" s="45">
        <v>6570</v>
      </c>
      <c r="P864" s="3">
        <v>36.5</v>
      </c>
      <c r="Q864" s="32" t="s">
        <v>39</v>
      </c>
      <c r="R864" s="32" t="s">
        <v>76</v>
      </c>
      <c r="S864" s="32" t="s">
        <v>57</v>
      </c>
      <c r="T864" s="32" t="s">
        <v>31</v>
      </c>
      <c r="U864" s="38">
        <v>4</v>
      </c>
      <c r="V864" s="9"/>
    </row>
    <row r="865" spans="1:22" x14ac:dyDescent="0.35">
      <c r="A865" s="18" t="s">
        <v>958</v>
      </c>
      <c r="B865" s="7">
        <v>45321</v>
      </c>
      <c r="C865" s="23" t="s">
        <v>90</v>
      </c>
      <c r="D865" s="23" t="s">
        <v>116</v>
      </c>
      <c r="E865" s="23" t="s">
        <v>35</v>
      </c>
      <c r="F865" s="28">
        <v>2024</v>
      </c>
      <c r="G865" s="23" t="s">
        <v>36</v>
      </c>
      <c r="H865" s="23" t="s">
        <v>145</v>
      </c>
      <c r="I865" s="23" t="s">
        <v>50</v>
      </c>
      <c r="J865" s="46">
        <v>12000</v>
      </c>
      <c r="K865" s="4">
        <v>8</v>
      </c>
      <c r="L865" s="5">
        <v>0</v>
      </c>
      <c r="M865" s="46">
        <v>96000</v>
      </c>
      <c r="N865" s="46">
        <v>65218</v>
      </c>
      <c r="O865" s="46">
        <v>30782</v>
      </c>
      <c r="P865" s="6">
        <v>32.06</v>
      </c>
      <c r="Q865" s="33" t="s">
        <v>39</v>
      </c>
      <c r="R865" s="33" t="s">
        <v>29</v>
      </c>
      <c r="S865" s="33" t="s">
        <v>68</v>
      </c>
      <c r="T865" s="33" t="s">
        <v>31</v>
      </c>
      <c r="U865" s="39">
        <v>3</v>
      </c>
      <c r="V865" s="9"/>
    </row>
    <row r="866" spans="1:22" x14ac:dyDescent="0.35">
      <c r="A866" s="17" t="s">
        <v>959</v>
      </c>
      <c r="B866" s="8">
        <v>45025</v>
      </c>
      <c r="C866" s="22" t="s">
        <v>78</v>
      </c>
      <c r="D866" s="22" t="s">
        <v>34</v>
      </c>
      <c r="E866" s="22" t="s">
        <v>35</v>
      </c>
      <c r="F866" s="27">
        <v>2023</v>
      </c>
      <c r="G866" s="22" t="s">
        <v>36</v>
      </c>
      <c r="H866" s="22" t="s">
        <v>104</v>
      </c>
      <c r="I866" s="22" t="s">
        <v>50</v>
      </c>
      <c r="J866" s="45">
        <v>15000</v>
      </c>
      <c r="K866" s="1">
        <v>7</v>
      </c>
      <c r="L866" s="2">
        <v>0</v>
      </c>
      <c r="M866" s="45">
        <v>105000</v>
      </c>
      <c r="N866" s="45">
        <v>66209</v>
      </c>
      <c r="O866" s="45">
        <v>38791</v>
      </c>
      <c r="P866" s="3">
        <v>36.94</v>
      </c>
      <c r="Q866" s="32" t="s">
        <v>28</v>
      </c>
      <c r="R866" s="32" t="s">
        <v>29</v>
      </c>
      <c r="S866" s="32" t="s">
        <v>85</v>
      </c>
      <c r="T866" s="32" t="s">
        <v>31</v>
      </c>
      <c r="U866" s="38">
        <v>5</v>
      </c>
      <c r="V866" s="9"/>
    </row>
    <row r="867" spans="1:22" x14ac:dyDescent="0.35">
      <c r="A867" s="18" t="s">
        <v>960</v>
      </c>
      <c r="B867" s="7">
        <v>45484</v>
      </c>
      <c r="C867" s="23" t="s">
        <v>70</v>
      </c>
      <c r="D867" s="23" t="s">
        <v>23</v>
      </c>
      <c r="E867" s="23" t="s">
        <v>24</v>
      </c>
      <c r="F867" s="28">
        <v>2024</v>
      </c>
      <c r="G867" s="23" t="s">
        <v>25</v>
      </c>
      <c r="H867" s="23" t="s">
        <v>37</v>
      </c>
      <c r="I867" s="23" t="s">
        <v>38</v>
      </c>
      <c r="J867" s="46">
        <v>10000</v>
      </c>
      <c r="K867" s="4">
        <v>2</v>
      </c>
      <c r="L867" s="5">
        <v>0</v>
      </c>
      <c r="M867" s="46">
        <v>20000</v>
      </c>
      <c r="N867" s="46">
        <v>12364</v>
      </c>
      <c r="O867" s="46">
        <v>7636</v>
      </c>
      <c r="P867" s="6">
        <v>38.18</v>
      </c>
      <c r="Q867" s="33" t="s">
        <v>81</v>
      </c>
      <c r="R867" s="33" t="s">
        <v>56</v>
      </c>
      <c r="S867" s="33" t="s">
        <v>68</v>
      </c>
      <c r="T867" s="33" t="s">
        <v>31</v>
      </c>
      <c r="U867" s="39">
        <v>5</v>
      </c>
      <c r="V867" s="9"/>
    </row>
    <row r="868" spans="1:22" x14ac:dyDescent="0.35">
      <c r="A868" s="17" t="s">
        <v>961</v>
      </c>
      <c r="B868" s="8">
        <v>45094</v>
      </c>
      <c r="C868" s="22" t="s">
        <v>90</v>
      </c>
      <c r="D868" s="22" t="s">
        <v>71</v>
      </c>
      <c r="E868" s="22" t="s">
        <v>72</v>
      </c>
      <c r="F868" s="27">
        <v>2023</v>
      </c>
      <c r="G868" s="22" t="s">
        <v>25</v>
      </c>
      <c r="H868" s="22" t="s">
        <v>26</v>
      </c>
      <c r="I868" s="22" t="s">
        <v>27</v>
      </c>
      <c r="J868" s="45">
        <v>5000</v>
      </c>
      <c r="K868" s="1">
        <v>7</v>
      </c>
      <c r="L868" s="2">
        <v>5</v>
      </c>
      <c r="M868" s="45">
        <v>33250</v>
      </c>
      <c r="N868" s="45">
        <v>21255</v>
      </c>
      <c r="O868" s="45">
        <v>11995</v>
      </c>
      <c r="P868" s="3">
        <v>36.08</v>
      </c>
      <c r="Q868" s="32" t="s">
        <v>39</v>
      </c>
      <c r="R868" s="32" t="s">
        <v>56</v>
      </c>
      <c r="S868" s="32" t="s">
        <v>57</v>
      </c>
      <c r="T868" s="32" t="s">
        <v>41</v>
      </c>
      <c r="U868" s="38">
        <v>1</v>
      </c>
      <c r="V868" s="9"/>
    </row>
    <row r="869" spans="1:22" x14ac:dyDescent="0.35">
      <c r="A869" s="18" t="s">
        <v>962</v>
      </c>
      <c r="B869" s="7">
        <v>45282</v>
      </c>
      <c r="C869" s="23" t="s">
        <v>33</v>
      </c>
      <c r="D869" s="23" t="s">
        <v>87</v>
      </c>
      <c r="E869" s="23" t="s">
        <v>35</v>
      </c>
      <c r="F869" s="28">
        <v>2024</v>
      </c>
      <c r="G869" s="23" t="s">
        <v>36</v>
      </c>
      <c r="H869" s="23" t="s">
        <v>93</v>
      </c>
      <c r="I869" s="23" t="s">
        <v>63</v>
      </c>
      <c r="J869" s="46">
        <v>14000</v>
      </c>
      <c r="K869" s="4">
        <v>5</v>
      </c>
      <c r="L869" s="5">
        <v>0</v>
      </c>
      <c r="M869" s="46">
        <v>70000</v>
      </c>
      <c r="N869" s="46">
        <v>41704</v>
      </c>
      <c r="O869" s="46">
        <v>28296</v>
      </c>
      <c r="P869" s="6">
        <v>40.42</v>
      </c>
      <c r="Q869" s="33" t="s">
        <v>81</v>
      </c>
      <c r="R869" s="33" t="s">
        <v>45</v>
      </c>
      <c r="S869" s="33" t="s">
        <v>40</v>
      </c>
      <c r="T869" s="33" t="s">
        <v>41</v>
      </c>
      <c r="U869" s="39">
        <v>1</v>
      </c>
      <c r="V869" s="9"/>
    </row>
    <row r="870" spans="1:22" x14ac:dyDescent="0.35">
      <c r="A870" s="17" t="s">
        <v>963</v>
      </c>
      <c r="B870" s="8">
        <v>45577</v>
      </c>
      <c r="C870" s="22" t="s">
        <v>33</v>
      </c>
      <c r="D870" s="22" t="s">
        <v>71</v>
      </c>
      <c r="E870" s="22" t="s">
        <v>72</v>
      </c>
      <c r="F870" s="27">
        <v>2023</v>
      </c>
      <c r="G870" s="22" t="s">
        <v>61</v>
      </c>
      <c r="H870" s="22" t="s">
        <v>26</v>
      </c>
      <c r="I870" s="22" t="s">
        <v>27</v>
      </c>
      <c r="J870" s="45">
        <v>5000</v>
      </c>
      <c r="K870" s="1">
        <v>1</v>
      </c>
      <c r="L870" s="2">
        <v>15</v>
      </c>
      <c r="M870" s="45">
        <v>4250</v>
      </c>
      <c r="N870" s="45">
        <v>2876</v>
      </c>
      <c r="O870" s="45">
        <v>1374</v>
      </c>
      <c r="P870" s="3">
        <v>32.33</v>
      </c>
      <c r="Q870" s="32" t="s">
        <v>39</v>
      </c>
      <c r="R870" s="32" t="s">
        <v>45</v>
      </c>
      <c r="S870" s="32" t="s">
        <v>40</v>
      </c>
      <c r="T870" s="32" t="s">
        <v>31</v>
      </c>
      <c r="U870" s="38">
        <v>4</v>
      </c>
      <c r="V870" s="9"/>
    </row>
    <row r="871" spans="1:22" x14ac:dyDescent="0.35">
      <c r="A871" s="18" t="s">
        <v>964</v>
      </c>
      <c r="B871" s="7">
        <v>45230</v>
      </c>
      <c r="C871" s="23" t="s">
        <v>70</v>
      </c>
      <c r="D871" s="23" t="s">
        <v>71</v>
      </c>
      <c r="E871" s="23" t="s">
        <v>72</v>
      </c>
      <c r="F871" s="28">
        <v>2023</v>
      </c>
      <c r="G871" s="23" t="s">
        <v>36</v>
      </c>
      <c r="H871" s="23" t="s">
        <v>59</v>
      </c>
      <c r="I871" s="23" t="s">
        <v>50</v>
      </c>
      <c r="J871" s="46">
        <v>22000</v>
      </c>
      <c r="K871" s="4">
        <v>6</v>
      </c>
      <c r="L871" s="5">
        <v>0</v>
      </c>
      <c r="M871" s="46">
        <v>132000</v>
      </c>
      <c r="N871" s="46">
        <v>79430</v>
      </c>
      <c r="O871" s="46">
        <v>52570</v>
      </c>
      <c r="P871" s="6">
        <v>39.83</v>
      </c>
      <c r="Q871" s="33" t="s">
        <v>28</v>
      </c>
      <c r="R871" s="33" t="s">
        <v>76</v>
      </c>
      <c r="S871" s="33" t="s">
        <v>85</v>
      </c>
      <c r="T871" s="33" t="s">
        <v>41</v>
      </c>
      <c r="U871" s="39">
        <v>3</v>
      </c>
      <c r="V871" s="9"/>
    </row>
    <row r="872" spans="1:22" x14ac:dyDescent="0.35">
      <c r="A872" s="17" t="s">
        <v>965</v>
      </c>
      <c r="B872" s="8">
        <v>44933</v>
      </c>
      <c r="C872" s="22" t="s">
        <v>53</v>
      </c>
      <c r="D872" s="22" t="s">
        <v>47</v>
      </c>
      <c r="E872" s="22" t="s">
        <v>48</v>
      </c>
      <c r="F872" s="27">
        <v>2024</v>
      </c>
      <c r="G872" s="22" t="s">
        <v>25</v>
      </c>
      <c r="H872" s="22" t="s">
        <v>88</v>
      </c>
      <c r="I872" s="22" t="s">
        <v>55</v>
      </c>
      <c r="J872" s="45">
        <v>8000</v>
      </c>
      <c r="K872" s="1">
        <v>10</v>
      </c>
      <c r="L872" s="2">
        <v>0</v>
      </c>
      <c r="M872" s="45">
        <v>80000</v>
      </c>
      <c r="N872" s="45">
        <v>47240</v>
      </c>
      <c r="O872" s="45">
        <v>32760</v>
      </c>
      <c r="P872" s="3">
        <v>40.950000000000003</v>
      </c>
      <c r="Q872" s="32" t="s">
        <v>81</v>
      </c>
      <c r="R872" s="32" t="s">
        <v>56</v>
      </c>
      <c r="S872" s="32" t="s">
        <v>85</v>
      </c>
      <c r="T872" s="32" t="s">
        <v>31</v>
      </c>
      <c r="U872" s="38">
        <v>1</v>
      </c>
      <c r="V872" s="9"/>
    </row>
    <row r="873" spans="1:22" x14ac:dyDescent="0.35">
      <c r="A873" s="18" t="s">
        <v>966</v>
      </c>
      <c r="B873" s="7">
        <v>45496</v>
      </c>
      <c r="C873" s="23" t="s">
        <v>70</v>
      </c>
      <c r="D873" s="23" t="s">
        <v>116</v>
      </c>
      <c r="E873" s="23" t="s">
        <v>35</v>
      </c>
      <c r="F873" s="28">
        <v>2023</v>
      </c>
      <c r="G873" s="23" t="s">
        <v>43</v>
      </c>
      <c r="H873" s="23" t="s">
        <v>80</v>
      </c>
      <c r="I873" s="23" t="s">
        <v>55</v>
      </c>
      <c r="J873" s="46">
        <v>25000</v>
      </c>
      <c r="K873" s="4">
        <v>1</v>
      </c>
      <c r="L873" s="5">
        <v>10</v>
      </c>
      <c r="M873" s="46">
        <v>22500</v>
      </c>
      <c r="N873" s="46">
        <v>16079</v>
      </c>
      <c r="O873" s="46">
        <v>6421</v>
      </c>
      <c r="P873" s="6">
        <v>28.54</v>
      </c>
      <c r="Q873" s="33" t="s">
        <v>39</v>
      </c>
      <c r="R873" s="33" t="s">
        <v>56</v>
      </c>
      <c r="S873" s="33" t="s">
        <v>40</v>
      </c>
      <c r="T873" s="33" t="s">
        <v>31</v>
      </c>
      <c r="U873" s="39">
        <v>5</v>
      </c>
      <c r="V873" s="9"/>
    </row>
    <row r="874" spans="1:22" x14ac:dyDescent="0.35">
      <c r="A874" s="17" t="s">
        <v>967</v>
      </c>
      <c r="B874" s="8">
        <v>45226</v>
      </c>
      <c r="C874" s="22" t="s">
        <v>22</v>
      </c>
      <c r="D874" s="22" t="s">
        <v>79</v>
      </c>
      <c r="E874" s="22" t="s">
        <v>72</v>
      </c>
      <c r="F874" s="27">
        <v>2024</v>
      </c>
      <c r="G874" s="22" t="s">
        <v>36</v>
      </c>
      <c r="H874" s="22" t="s">
        <v>145</v>
      </c>
      <c r="I874" s="22" t="s">
        <v>50</v>
      </c>
      <c r="J874" s="45">
        <v>12000</v>
      </c>
      <c r="K874" s="1">
        <v>8</v>
      </c>
      <c r="L874" s="2">
        <v>20</v>
      </c>
      <c r="M874" s="45">
        <v>76800</v>
      </c>
      <c r="N874" s="45">
        <v>44877</v>
      </c>
      <c r="O874" s="45">
        <v>31923</v>
      </c>
      <c r="P874" s="3">
        <v>41.57</v>
      </c>
      <c r="Q874" s="32" t="s">
        <v>39</v>
      </c>
      <c r="R874" s="32" t="s">
        <v>76</v>
      </c>
      <c r="S874" s="32" t="s">
        <v>68</v>
      </c>
      <c r="T874" s="32" t="s">
        <v>41</v>
      </c>
      <c r="U874" s="38">
        <v>5</v>
      </c>
      <c r="V874" s="9"/>
    </row>
    <row r="875" spans="1:22" x14ac:dyDescent="0.35">
      <c r="A875" s="18" t="s">
        <v>968</v>
      </c>
      <c r="B875" s="7">
        <v>45070</v>
      </c>
      <c r="C875" s="23" t="s">
        <v>70</v>
      </c>
      <c r="D875" s="23" t="s">
        <v>97</v>
      </c>
      <c r="E875" s="23" t="s">
        <v>24</v>
      </c>
      <c r="F875" s="28">
        <v>2024</v>
      </c>
      <c r="G875" s="23" t="s">
        <v>25</v>
      </c>
      <c r="H875" s="23" t="s">
        <v>49</v>
      </c>
      <c r="I875" s="23" t="s">
        <v>50</v>
      </c>
      <c r="J875" s="46">
        <v>18000</v>
      </c>
      <c r="K875" s="4">
        <v>6</v>
      </c>
      <c r="L875" s="5">
        <v>0</v>
      </c>
      <c r="M875" s="46">
        <v>108000</v>
      </c>
      <c r="N875" s="46">
        <v>67634</v>
      </c>
      <c r="O875" s="46">
        <v>40366</v>
      </c>
      <c r="P875" s="6">
        <v>37.380000000000003</v>
      </c>
      <c r="Q875" s="33" t="s">
        <v>28</v>
      </c>
      <c r="R875" s="33" t="s">
        <v>67</v>
      </c>
      <c r="S875" s="33" t="s">
        <v>30</v>
      </c>
      <c r="T875" s="33" t="s">
        <v>41</v>
      </c>
      <c r="U875" s="39">
        <v>5</v>
      </c>
      <c r="V875" s="9"/>
    </row>
    <row r="876" spans="1:22" x14ac:dyDescent="0.35">
      <c r="A876" s="17" t="s">
        <v>969</v>
      </c>
      <c r="B876" s="8">
        <v>45006</v>
      </c>
      <c r="C876" s="22" t="s">
        <v>33</v>
      </c>
      <c r="D876" s="22" t="s">
        <v>116</v>
      </c>
      <c r="E876" s="22" t="s">
        <v>35</v>
      </c>
      <c r="F876" s="27">
        <v>2024</v>
      </c>
      <c r="G876" s="22" t="s">
        <v>43</v>
      </c>
      <c r="H876" s="22" t="s">
        <v>44</v>
      </c>
      <c r="I876" s="22" t="s">
        <v>27</v>
      </c>
      <c r="J876" s="45">
        <v>6000</v>
      </c>
      <c r="K876" s="1">
        <v>10</v>
      </c>
      <c r="L876" s="2">
        <v>0</v>
      </c>
      <c r="M876" s="45">
        <v>60000</v>
      </c>
      <c r="N876" s="45">
        <v>40106</v>
      </c>
      <c r="O876" s="45">
        <v>19894</v>
      </c>
      <c r="P876" s="3">
        <v>33.159999999999997</v>
      </c>
      <c r="Q876" s="32" t="s">
        <v>39</v>
      </c>
      <c r="R876" s="32" t="s">
        <v>45</v>
      </c>
      <c r="S876" s="32" t="s">
        <v>30</v>
      </c>
      <c r="T876" s="32" t="s">
        <v>31</v>
      </c>
      <c r="U876" s="38">
        <v>4</v>
      </c>
      <c r="V876" s="9"/>
    </row>
    <row r="877" spans="1:22" x14ac:dyDescent="0.35">
      <c r="A877" s="18" t="s">
        <v>970</v>
      </c>
      <c r="B877" s="7">
        <v>45234</v>
      </c>
      <c r="C877" s="23" t="s">
        <v>83</v>
      </c>
      <c r="D877" s="23" t="s">
        <v>116</v>
      </c>
      <c r="E877" s="23" t="s">
        <v>35</v>
      </c>
      <c r="F877" s="28">
        <v>2024</v>
      </c>
      <c r="G877" s="23" t="s">
        <v>25</v>
      </c>
      <c r="H877" s="23" t="s">
        <v>88</v>
      </c>
      <c r="I877" s="23" t="s">
        <v>55</v>
      </c>
      <c r="J877" s="46">
        <v>8000</v>
      </c>
      <c r="K877" s="4">
        <v>2</v>
      </c>
      <c r="L877" s="5">
        <v>0</v>
      </c>
      <c r="M877" s="46">
        <v>16000</v>
      </c>
      <c r="N877" s="46">
        <v>9991</v>
      </c>
      <c r="O877" s="46">
        <v>6009</v>
      </c>
      <c r="P877" s="6">
        <v>37.56</v>
      </c>
      <c r="Q877" s="33" t="s">
        <v>75</v>
      </c>
      <c r="R877" s="33" t="s">
        <v>67</v>
      </c>
      <c r="S877" s="33" t="s">
        <v>85</v>
      </c>
      <c r="T877" s="33" t="s">
        <v>41</v>
      </c>
      <c r="U877" s="39">
        <v>5</v>
      </c>
      <c r="V877" s="9"/>
    </row>
    <row r="878" spans="1:22" x14ac:dyDescent="0.35">
      <c r="A878" s="17" t="s">
        <v>971</v>
      </c>
      <c r="B878" s="8">
        <v>45235</v>
      </c>
      <c r="C878" s="22" t="s">
        <v>78</v>
      </c>
      <c r="D878" s="22" t="s">
        <v>23</v>
      </c>
      <c r="E878" s="22" t="s">
        <v>24</v>
      </c>
      <c r="F878" s="27">
        <v>2023</v>
      </c>
      <c r="G878" s="22" t="s">
        <v>25</v>
      </c>
      <c r="H878" s="22" t="s">
        <v>37</v>
      </c>
      <c r="I878" s="22" t="s">
        <v>38</v>
      </c>
      <c r="J878" s="45">
        <v>10000</v>
      </c>
      <c r="K878" s="1">
        <v>1</v>
      </c>
      <c r="L878" s="2">
        <v>0</v>
      </c>
      <c r="M878" s="45">
        <v>10000</v>
      </c>
      <c r="N878" s="45">
        <v>6472</v>
      </c>
      <c r="O878" s="45">
        <v>3528</v>
      </c>
      <c r="P878" s="3">
        <v>35.28</v>
      </c>
      <c r="Q878" s="32" t="s">
        <v>75</v>
      </c>
      <c r="R878" s="32" t="s">
        <v>76</v>
      </c>
      <c r="S878" s="32" t="s">
        <v>85</v>
      </c>
      <c r="T878" s="32" t="s">
        <v>41</v>
      </c>
      <c r="U878" s="38">
        <v>3</v>
      </c>
      <c r="V878" s="9"/>
    </row>
    <row r="879" spans="1:22" x14ac:dyDescent="0.35">
      <c r="A879" s="18" t="s">
        <v>972</v>
      </c>
      <c r="B879" s="7">
        <v>45313</v>
      </c>
      <c r="C879" s="23" t="s">
        <v>90</v>
      </c>
      <c r="D879" s="23" t="s">
        <v>108</v>
      </c>
      <c r="E879" s="23" t="s">
        <v>72</v>
      </c>
      <c r="F879" s="28">
        <v>2023</v>
      </c>
      <c r="G879" s="23" t="s">
        <v>61</v>
      </c>
      <c r="H879" s="23" t="s">
        <v>145</v>
      </c>
      <c r="I879" s="23" t="s">
        <v>50</v>
      </c>
      <c r="J879" s="46">
        <v>12000</v>
      </c>
      <c r="K879" s="4">
        <v>9</v>
      </c>
      <c r="L879" s="5">
        <v>0</v>
      </c>
      <c r="M879" s="46">
        <v>108000</v>
      </c>
      <c r="N879" s="46">
        <v>62542</v>
      </c>
      <c r="O879" s="46">
        <v>45458</v>
      </c>
      <c r="P879" s="6">
        <v>42.09</v>
      </c>
      <c r="Q879" s="33" t="s">
        <v>28</v>
      </c>
      <c r="R879" s="33" t="s">
        <v>29</v>
      </c>
      <c r="S879" s="33" t="s">
        <v>68</v>
      </c>
      <c r="T879" s="33" t="s">
        <v>31</v>
      </c>
      <c r="U879" s="39">
        <v>2</v>
      </c>
      <c r="V879" s="9"/>
    </row>
    <row r="880" spans="1:22" x14ac:dyDescent="0.35">
      <c r="A880" s="17" t="s">
        <v>973</v>
      </c>
      <c r="B880" s="8">
        <v>45653</v>
      </c>
      <c r="C880" s="22" t="s">
        <v>33</v>
      </c>
      <c r="D880" s="22" t="s">
        <v>23</v>
      </c>
      <c r="E880" s="22" t="s">
        <v>24</v>
      </c>
      <c r="F880" s="27">
        <v>2023</v>
      </c>
      <c r="G880" s="22" t="s">
        <v>43</v>
      </c>
      <c r="H880" s="22" t="s">
        <v>123</v>
      </c>
      <c r="I880" s="22" t="s">
        <v>38</v>
      </c>
      <c r="J880" s="45">
        <v>14000</v>
      </c>
      <c r="K880" s="1">
        <v>1</v>
      </c>
      <c r="L880" s="2">
        <v>15</v>
      </c>
      <c r="M880" s="45">
        <v>11900</v>
      </c>
      <c r="N880" s="45">
        <v>8528</v>
      </c>
      <c r="O880" s="45">
        <v>3372</v>
      </c>
      <c r="P880" s="3">
        <v>28.34</v>
      </c>
      <c r="Q880" s="32" t="s">
        <v>39</v>
      </c>
      <c r="R880" s="32" t="s">
        <v>29</v>
      </c>
      <c r="S880" s="32" t="s">
        <v>30</v>
      </c>
      <c r="T880" s="32" t="s">
        <v>41</v>
      </c>
      <c r="U880" s="38">
        <v>5</v>
      </c>
      <c r="V880" s="9"/>
    </row>
    <row r="881" spans="1:22" x14ac:dyDescent="0.35">
      <c r="A881" s="18" t="s">
        <v>974</v>
      </c>
      <c r="B881" s="7">
        <v>45602</v>
      </c>
      <c r="C881" s="23" t="s">
        <v>53</v>
      </c>
      <c r="D881" s="23" t="s">
        <v>47</v>
      </c>
      <c r="E881" s="23" t="s">
        <v>48</v>
      </c>
      <c r="F881" s="28">
        <v>2024</v>
      </c>
      <c r="G881" s="23" t="s">
        <v>61</v>
      </c>
      <c r="H881" s="23" t="s">
        <v>117</v>
      </c>
      <c r="I881" s="23" t="s">
        <v>50</v>
      </c>
      <c r="J881" s="46">
        <v>8000</v>
      </c>
      <c r="K881" s="4">
        <v>9</v>
      </c>
      <c r="L881" s="5">
        <v>0</v>
      </c>
      <c r="M881" s="46">
        <v>72000</v>
      </c>
      <c r="N881" s="46">
        <v>48438</v>
      </c>
      <c r="O881" s="46">
        <v>23562</v>
      </c>
      <c r="P881" s="6">
        <v>32.729999999999997</v>
      </c>
      <c r="Q881" s="33" t="s">
        <v>51</v>
      </c>
      <c r="R881" s="33" t="s">
        <v>29</v>
      </c>
      <c r="S881" s="33" t="s">
        <v>57</v>
      </c>
      <c r="T881" s="33" t="s">
        <v>31</v>
      </c>
      <c r="U881" s="39">
        <v>1</v>
      </c>
      <c r="V881" s="9"/>
    </row>
    <row r="882" spans="1:22" x14ac:dyDescent="0.35">
      <c r="A882" s="17" t="s">
        <v>975</v>
      </c>
      <c r="B882" s="8">
        <v>44965</v>
      </c>
      <c r="C882" s="22" t="s">
        <v>70</v>
      </c>
      <c r="D882" s="22" t="s">
        <v>97</v>
      </c>
      <c r="E882" s="22" t="s">
        <v>24</v>
      </c>
      <c r="F882" s="27">
        <v>2023</v>
      </c>
      <c r="G882" s="22" t="s">
        <v>25</v>
      </c>
      <c r="H882" s="22" t="s">
        <v>123</v>
      </c>
      <c r="I882" s="22" t="s">
        <v>38</v>
      </c>
      <c r="J882" s="45">
        <v>14000</v>
      </c>
      <c r="K882" s="1">
        <v>3</v>
      </c>
      <c r="L882" s="2">
        <v>0</v>
      </c>
      <c r="M882" s="45">
        <v>42000</v>
      </c>
      <c r="N882" s="45">
        <v>30037</v>
      </c>
      <c r="O882" s="45">
        <v>11963</v>
      </c>
      <c r="P882" s="3">
        <v>28.48</v>
      </c>
      <c r="Q882" s="32" t="s">
        <v>75</v>
      </c>
      <c r="R882" s="32" t="s">
        <v>29</v>
      </c>
      <c r="S882" s="32" t="s">
        <v>30</v>
      </c>
      <c r="T882" s="32" t="s">
        <v>41</v>
      </c>
      <c r="U882" s="38">
        <v>5</v>
      </c>
      <c r="V882" s="9"/>
    </row>
    <row r="883" spans="1:22" x14ac:dyDescent="0.35">
      <c r="A883" s="18" t="s">
        <v>976</v>
      </c>
      <c r="B883" s="7">
        <v>45588</v>
      </c>
      <c r="C883" s="23" t="s">
        <v>33</v>
      </c>
      <c r="D883" s="23" t="s">
        <v>71</v>
      </c>
      <c r="E883" s="23" t="s">
        <v>72</v>
      </c>
      <c r="F883" s="28">
        <v>2024</v>
      </c>
      <c r="G883" s="23" t="s">
        <v>25</v>
      </c>
      <c r="H883" s="23" t="s">
        <v>113</v>
      </c>
      <c r="I883" s="23" t="s">
        <v>38</v>
      </c>
      <c r="J883" s="46">
        <v>3500</v>
      </c>
      <c r="K883" s="4">
        <v>4</v>
      </c>
      <c r="L883" s="5">
        <v>0</v>
      </c>
      <c r="M883" s="46">
        <v>14000</v>
      </c>
      <c r="N883" s="46">
        <v>8340</v>
      </c>
      <c r="O883" s="46">
        <v>5660</v>
      </c>
      <c r="P883" s="6">
        <v>40.43</v>
      </c>
      <c r="Q883" s="33" t="s">
        <v>75</v>
      </c>
      <c r="R883" s="33" t="s">
        <v>67</v>
      </c>
      <c r="S883" s="33" t="s">
        <v>68</v>
      </c>
      <c r="T883" s="33" t="s">
        <v>31</v>
      </c>
      <c r="U883" s="39">
        <v>4</v>
      </c>
      <c r="V883" s="9"/>
    </row>
    <row r="884" spans="1:22" x14ac:dyDescent="0.35">
      <c r="A884" s="17" t="s">
        <v>977</v>
      </c>
      <c r="B884" s="8">
        <v>45328</v>
      </c>
      <c r="C884" s="22" t="s">
        <v>53</v>
      </c>
      <c r="D884" s="22" t="s">
        <v>47</v>
      </c>
      <c r="E884" s="22" t="s">
        <v>48</v>
      </c>
      <c r="F884" s="27">
        <v>2024</v>
      </c>
      <c r="G884" s="22" t="s">
        <v>25</v>
      </c>
      <c r="H884" s="22" t="s">
        <v>113</v>
      </c>
      <c r="I884" s="22" t="s">
        <v>38</v>
      </c>
      <c r="J884" s="45">
        <v>3500</v>
      </c>
      <c r="K884" s="1">
        <v>2</v>
      </c>
      <c r="L884" s="2">
        <v>5</v>
      </c>
      <c r="M884" s="45">
        <v>6650</v>
      </c>
      <c r="N884" s="45">
        <v>3863</v>
      </c>
      <c r="O884" s="45">
        <v>2787</v>
      </c>
      <c r="P884" s="3">
        <v>41.91</v>
      </c>
      <c r="Q884" s="32" t="s">
        <v>39</v>
      </c>
      <c r="R884" s="32" t="s">
        <v>56</v>
      </c>
      <c r="S884" s="32" t="s">
        <v>68</v>
      </c>
      <c r="T884" s="32" t="s">
        <v>31</v>
      </c>
      <c r="U884" s="38">
        <v>3</v>
      </c>
      <c r="V884" s="9"/>
    </row>
    <row r="885" spans="1:22" x14ac:dyDescent="0.35">
      <c r="A885" s="18" t="s">
        <v>978</v>
      </c>
      <c r="B885" s="7">
        <v>45046</v>
      </c>
      <c r="C885" s="23" t="s">
        <v>70</v>
      </c>
      <c r="D885" s="23" t="s">
        <v>47</v>
      </c>
      <c r="E885" s="23" t="s">
        <v>48</v>
      </c>
      <c r="F885" s="28">
        <v>2023</v>
      </c>
      <c r="G885" s="23" t="s">
        <v>36</v>
      </c>
      <c r="H885" s="23" t="s">
        <v>104</v>
      </c>
      <c r="I885" s="23" t="s">
        <v>50</v>
      </c>
      <c r="J885" s="46">
        <v>15000</v>
      </c>
      <c r="K885" s="4">
        <v>3</v>
      </c>
      <c r="L885" s="5">
        <v>20</v>
      </c>
      <c r="M885" s="46">
        <v>36000</v>
      </c>
      <c r="N885" s="46">
        <v>22212</v>
      </c>
      <c r="O885" s="46">
        <v>13788</v>
      </c>
      <c r="P885" s="6">
        <v>38.299999999999997</v>
      </c>
      <c r="Q885" s="33" t="s">
        <v>75</v>
      </c>
      <c r="R885" s="33" t="s">
        <v>56</v>
      </c>
      <c r="S885" s="33" t="s">
        <v>30</v>
      </c>
      <c r="T885" s="33" t="s">
        <v>31</v>
      </c>
      <c r="U885" s="39">
        <v>4</v>
      </c>
      <c r="V885" s="9"/>
    </row>
    <row r="886" spans="1:22" x14ac:dyDescent="0.35">
      <c r="A886" s="17" t="s">
        <v>979</v>
      </c>
      <c r="B886" s="8">
        <v>45376</v>
      </c>
      <c r="C886" s="22" t="s">
        <v>53</v>
      </c>
      <c r="D886" s="22" t="s">
        <v>79</v>
      </c>
      <c r="E886" s="22" t="s">
        <v>72</v>
      </c>
      <c r="F886" s="27">
        <v>2023</v>
      </c>
      <c r="G886" s="22" t="s">
        <v>25</v>
      </c>
      <c r="H886" s="22" t="s">
        <v>98</v>
      </c>
      <c r="I886" s="22" t="s">
        <v>63</v>
      </c>
      <c r="J886" s="45">
        <v>28000</v>
      </c>
      <c r="K886" s="1">
        <v>2</v>
      </c>
      <c r="L886" s="2">
        <v>15</v>
      </c>
      <c r="M886" s="45">
        <v>47600</v>
      </c>
      <c r="N886" s="45">
        <v>30443</v>
      </c>
      <c r="O886" s="45">
        <v>17157</v>
      </c>
      <c r="P886" s="3">
        <v>36.04</v>
      </c>
      <c r="Q886" s="32" t="s">
        <v>28</v>
      </c>
      <c r="R886" s="32" t="s">
        <v>29</v>
      </c>
      <c r="S886" s="32" t="s">
        <v>30</v>
      </c>
      <c r="T886" s="32" t="s">
        <v>41</v>
      </c>
      <c r="U886" s="38">
        <v>1</v>
      </c>
      <c r="V886" s="9"/>
    </row>
    <row r="887" spans="1:22" x14ac:dyDescent="0.35">
      <c r="A887" s="18" t="s">
        <v>980</v>
      </c>
      <c r="B887" s="7">
        <v>45456</v>
      </c>
      <c r="C887" s="23" t="s">
        <v>70</v>
      </c>
      <c r="D887" s="23" t="s">
        <v>34</v>
      </c>
      <c r="E887" s="23" t="s">
        <v>35</v>
      </c>
      <c r="F887" s="28">
        <v>2023</v>
      </c>
      <c r="G887" s="23" t="s">
        <v>43</v>
      </c>
      <c r="H887" s="23" t="s">
        <v>26</v>
      </c>
      <c r="I887" s="23" t="s">
        <v>27</v>
      </c>
      <c r="J887" s="46">
        <v>5000</v>
      </c>
      <c r="K887" s="4">
        <v>3</v>
      </c>
      <c r="L887" s="5">
        <v>0</v>
      </c>
      <c r="M887" s="46">
        <v>15000</v>
      </c>
      <c r="N887" s="46">
        <v>10214</v>
      </c>
      <c r="O887" s="46">
        <v>4786</v>
      </c>
      <c r="P887" s="6">
        <v>31.91</v>
      </c>
      <c r="Q887" s="33" t="s">
        <v>81</v>
      </c>
      <c r="R887" s="33" t="s">
        <v>56</v>
      </c>
      <c r="S887" s="33" t="s">
        <v>85</v>
      </c>
      <c r="T887" s="33" t="s">
        <v>31</v>
      </c>
      <c r="U887" s="39">
        <v>1</v>
      </c>
      <c r="V887" s="9"/>
    </row>
    <row r="888" spans="1:22" x14ac:dyDescent="0.35">
      <c r="A888" s="17" t="s">
        <v>981</v>
      </c>
      <c r="B888" s="8">
        <v>45333</v>
      </c>
      <c r="C888" s="22" t="s">
        <v>83</v>
      </c>
      <c r="D888" s="22" t="s">
        <v>71</v>
      </c>
      <c r="E888" s="22" t="s">
        <v>72</v>
      </c>
      <c r="F888" s="27">
        <v>2024</v>
      </c>
      <c r="G888" s="22" t="s">
        <v>61</v>
      </c>
      <c r="H888" s="22" t="s">
        <v>117</v>
      </c>
      <c r="I888" s="22" t="s">
        <v>50</v>
      </c>
      <c r="J888" s="45">
        <v>8000</v>
      </c>
      <c r="K888" s="1">
        <v>4</v>
      </c>
      <c r="L888" s="2">
        <v>0</v>
      </c>
      <c r="M888" s="45">
        <v>32000</v>
      </c>
      <c r="N888" s="45">
        <v>20214</v>
      </c>
      <c r="O888" s="45">
        <v>11786</v>
      </c>
      <c r="P888" s="3">
        <v>36.83</v>
      </c>
      <c r="Q888" s="32" t="s">
        <v>75</v>
      </c>
      <c r="R888" s="32" t="s">
        <v>67</v>
      </c>
      <c r="S888" s="32" t="s">
        <v>68</v>
      </c>
      <c r="T888" s="32" t="s">
        <v>41</v>
      </c>
      <c r="U888" s="38">
        <v>4</v>
      </c>
      <c r="V888" s="9"/>
    </row>
    <row r="889" spans="1:22" x14ac:dyDescent="0.35">
      <c r="A889" s="18" t="s">
        <v>982</v>
      </c>
      <c r="B889" s="7">
        <v>45519</v>
      </c>
      <c r="C889" s="23" t="s">
        <v>33</v>
      </c>
      <c r="D889" s="23" t="s">
        <v>87</v>
      </c>
      <c r="E889" s="23" t="s">
        <v>35</v>
      </c>
      <c r="F889" s="28">
        <v>2023</v>
      </c>
      <c r="G889" s="23" t="s">
        <v>43</v>
      </c>
      <c r="H889" s="23" t="s">
        <v>106</v>
      </c>
      <c r="I889" s="23" t="s">
        <v>38</v>
      </c>
      <c r="J889" s="46">
        <v>12000</v>
      </c>
      <c r="K889" s="4">
        <v>9</v>
      </c>
      <c r="L889" s="5">
        <v>15</v>
      </c>
      <c r="M889" s="46">
        <v>91800</v>
      </c>
      <c r="N889" s="46">
        <v>54664</v>
      </c>
      <c r="O889" s="46">
        <v>37136</v>
      </c>
      <c r="P889" s="6">
        <v>40.450000000000003</v>
      </c>
      <c r="Q889" s="33" t="s">
        <v>75</v>
      </c>
      <c r="R889" s="33" t="s">
        <v>76</v>
      </c>
      <c r="S889" s="33" t="s">
        <v>30</v>
      </c>
      <c r="T889" s="33" t="s">
        <v>31</v>
      </c>
      <c r="U889" s="39">
        <v>5</v>
      </c>
      <c r="V889" s="9"/>
    </row>
    <row r="890" spans="1:22" x14ac:dyDescent="0.35">
      <c r="A890" s="17" t="s">
        <v>983</v>
      </c>
      <c r="B890" s="8">
        <v>45325</v>
      </c>
      <c r="C890" s="22" t="s">
        <v>83</v>
      </c>
      <c r="D890" s="22" t="s">
        <v>23</v>
      </c>
      <c r="E890" s="22" t="s">
        <v>24</v>
      </c>
      <c r="F890" s="27">
        <v>2023</v>
      </c>
      <c r="G890" s="22" t="s">
        <v>25</v>
      </c>
      <c r="H890" s="22" t="s">
        <v>101</v>
      </c>
      <c r="I890" s="22" t="s">
        <v>27</v>
      </c>
      <c r="J890" s="45">
        <v>9000</v>
      </c>
      <c r="K890" s="1">
        <v>7</v>
      </c>
      <c r="L890" s="2">
        <v>0</v>
      </c>
      <c r="M890" s="45">
        <v>63000</v>
      </c>
      <c r="N890" s="45">
        <v>34663</v>
      </c>
      <c r="O890" s="45">
        <v>28337</v>
      </c>
      <c r="P890" s="3">
        <v>44.98</v>
      </c>
      <c r="Q890" s="32" t="s">
        <v>39</v>
      </c>
      <c r="R890" s="32" t="s">
        <v>76</v>
      </c>
      <c r="S890" s="32" t="s">
        <v>68</v>
      </c>
      <c r="T890" s="32" t="s">
        <v>41</v>
      </c>
      <c r="U890" s="38">
        <v>2</v>
      </c>
      <c r="V890" s="9"/>
    </row>
    <row r="891" spans="1:22" x14ac:dyDescent="0.35">
      <c r="A891" s="18" t="s">
        <v>984</v>
      </c>
      <c r="B891" s="7">
        <v>45248</v>
      </c>
      <c r="C891" s="23" t="s">
        <v>33</v>
      </c>
      <c r="D891" s="23" t="s">
        <v>97</v>
      </c>
      <c r="E891" s="23" t="s">
        <v>24</v>
      </c>
      <c r="F891" s="28">
        <v>2023</v>
      </c>
      <c r="G891" s="23" t="s">
        <v>43</v>
      </c>
      <c r="H891" s="23" t="s">
        <v>104</v>
      </c>
      <c r="I891" s="23" t="s">
        <v>50</v>
      </c>
      <c r="J891" s="46">
        <v>15000</v>
      </c>
      <c r="K891" s="4">
        <v>7</v>
      </c>
      <c r="L891" s="5">
        <v>15</v>
      </c>
      <c r="M891" s="46">
        <v>89250</v>
      </c>
      <c r="N891" s="46">
        <v>62503</v>
      </c>
      <c r="O891" s="46">
        <v>26747</v>
      </c>
      <c r="P891" s="6">
        <v>29.97</v>
      </c>
      <c r="Q891" s="33" t="s">
        <v>28</v>
      </c>
      <c r="R891" s="33" t="s">
        <v>67</v>
      </c>
      <c r="S891" s="33" t="s">
        <v>68</v>
      </c>
      <c r="T891" s="33" t="s">
        <v>31</v>
      </c>
      <c r="U891" s="39">
        <v>1</v>
      </c>
      <c r="V891" s="9"/>
    </row>
    <row r="892" spans="1:22" x14ac:dyDescent="0.35">
      <c r="A892" s="17" t="s">
        <v>985</v>
      </c>
      <c r="B892" s="8">
        <v>45320</v>
      </c>
      <c r="C892" s="22" t="s">
        <v>90</v>
      </c>
      <c r="D892" s="22" t="s">
        <v>23</v>
      </c>
      <c r="E892" s="22" t="s">
        <v>24</v>
      </c>
      <c r="F892" s="27">
        <v>2023</v>
      </c>
      <c r="G892" s="22" t="s">
        <v>36</v>
      </c>
      <c r="H892" s="22" t="s">
        <v>117</v>
      </c>
      <c r="I892" s="22" t="s">
        <v>50</v>
      </c>
      <c r="J892" s="45">
        <v>8000</v>
      </c>
      <c r="K892" s="1">
        <v>10</v>
      </c>
      <c r="L892" s="2">
        <v>0</v>
      </c>
      <c r="M892" s="45">
        <v>80000</v>
      </c>
      <c r="N892" s="45">
        <v>45610</v>
      </c>
      <c r="O892" s="45">
        <v>34390</v>
      </c>
      <c r="P892" s="3">
        <v>42.99</v>
      </c>
      <c r="Q892" s="32" t="s">
        <v>28</v>
      </c>
      <c r="R892" s="32" t="s">
        <v>76</v>
      </c>
      <c r="S892" s="32" t="s">
        <v>85</v>
      </c>
      <c r="T892" s="32" t="s">
        <v>31</v>
      </c>
      <c r="U892" s="38">
        <v>4</v>
      </c>
      <c r="V892" s="9"/>
    </row>
    <row r="893" spans="1:22" x14ac:dyDescent="0.35">
      <c r="A893" s="18" t="s">
        <v>986</v>
      </c>
      <c r="B893" s="7">
        <v>45119</v>
      </c>
      <c r="C893" s="23" t="s">
        <v>33</v>
      </c>
      <c r="D893" s="23" t="s">
        <v>87</v>
      </c>
      <c r="E893" s="23" t="s">
        <v>35</v>
      </c>
      <c r="F893" s="28">
        <v>2024</v>
      </c>
      <c r="G893" s="23" t="s">
        <v>61</v>
      </c>
      <c r="H893" s="23" t="s">
        <v>49</v>
      </c>
      <c r="I893" s="23" t="s">
        <v>50</v>
      </c>
      <c r="J893" s="46">
        <v>18000</v>
      </c>
      <c r="K893" s="4">
        <v>3</v>
      </c>
      <c r="L893" s="5">
        <v>15</v>
      </c>
      <c r="M893" s="46">
        <v>45900</v>
      </c>
      <c r="N893" s="46">
        <v>28563</v>
      </c>
      <c r="O893" s="46">
        <v>17337</v>
      </c>
      <c r="P893" s="6">
        <v>37.770000000000003</v>
      </c>
      <c r="Q893" s="33" t="s">
        <v>81</v>
      </c>
      <c r="R893" s="33" t="s">
        <v>29</v>
      </c>
      <c r="S893" s="33" t="s">
        <v>57</v>
      </c>
      <c r="T893" s="33" t="s">
        <v>31</v>
      </c>
      <c r="U893" s="39">
        <v>3</v>
      </c>
      <c r="V893" s="9"/>
    </row>
    <row r="894" spans="1:22" x14ac:dyDescent="0.35">
      <c r="A894" s="17" t="s">
        <v>987</v>
      </c>
      <c r="B894" s="8">
        <v>45445</v>
      </c>
      <c r="C894" s="22" t="s">
        <v>70</v>
      </c>
      <c r="D894" s="22" t="s">
        <v>116</v>
      </c>
      <c r="E894" s="22" t="s">
        <v>35</v>
      </c>
      <c r="F894" s="27">
        <v>2024</v>
      </c>
      <c r="G894" s="22" t="s">
        <v>36</v>
      </c>
      <c r="H894" s="22" t="s">
        <v>145</v>
      </c>
      <c r="I894" s="22" t="s">
        <v>50</v>
      </c>
      <c r="J894" s="45">
        <v>12000</v>
      </c>
      <c r="K894" s="1">
        <v>2</v>
      </c>
      <c r="L894" s="2">
        <v>20</v>
      </c>
      <c r="M894" s="45">
        <v>19200</v>
      </c>
      <c r="N894" s="45">
        <v>10567</v>
      </c>
      <c r="O894" s="45">
        <v>8633</v>
      </c>
      <c r="P894" s="3">
        <v>44.96</v>
      </c>
      <c r="Q894" s="32" t="s">
        <v>39</v>
      </c>
      <c r="R894" s="32" t="s">
        <v>56</v>
      </c>
      <c r="S894" s="32" t="s">
        <v>57</v>
      </c>
      <c r="T894" s="32" t="s">
        <v>41</v>
      </c>
      <c r="U894" s="38">
        <v>4</v>
      </c>
      <c r="V894" s="9"/>
    </row>
    <row r="895" spans="1:22" x14ac:dyDescent="0.35">
      <c r="A895" s="18" t="s">
        <v>988</v>
      </c>
      <c r="B895" s="7">
        <v>45227</v>
      </c>
      <c r="C895" s="23" t="s">
        <v>53</v>
      </c>
      <c r="D895" s="23" t="s">
        <v>116</v>
      </c>
      <c r="E895" s="23" t="s">
        <v>35</v>
      </c>
      <c r="F895" s="28">
        <v>2024</v>
      </c>
      <c r="G895" s="23" t="s">
        <v>61</v>
      </c>
      <c r="H895" s="23" t="s">
        <v>26</v>
      </c>
      <c r="I895" s="23" t="s">
        <v>27</v>
      </c>
      <c r="J895" s="46">
        <v>5000</v>
      </c>
      <c r="K895" s="4">
        <v>10</v>
      </c>
      <c r="L895" s="5">
        <v>5</v>
      </c>
      <c r="M895" s="46">
        <v>47500</v>
      </c>
      <c r="N895" s="46">
        <v>33874</v>
      </c>
      <c r="O895" s="46">
        <v>13626</v>
      </c>
      <c r="P895" s="6">
        <v>28.69</v>
      </c>
      <c r="Q895" s="33" t="s">
        <v>81</v>
      </c>
      <c r="R895" s="33" t="s">
        <v>56</v>
      </c>
      <c r="S895" s="33" t="s">
        <v>30</v>
      </c>
      <c r="T895" s="33" t="s">
        <v>31</v>
      </c>
      <c r="U895" s="39">
        <v>2</v>
      </c>
      <c r="V895" s="9"/>
    </row>
    <row r="896" spans="1:22" x14ac:dyDescent="0.35">
      <c r="A896" s="17" t="s">
        <v>989</v>
      </c>
      <c r="B896" s="8">
        <v>45484</v>
      </c>
      <c r="C896" s="22" t="s">
        <v>83</v>
      </c>
      <c r="D896" s="22" t="s">
        <v>47</v>
      </c>
      <c r="E896" s="22" t="s">
        <v>48</v>
      </c>
      <c r="F896" s="27">
        <v>2024</v>
      </c>
      <c r="G896" s="22" t="s">
        <v>36</v>
      </c>
      <c r="H896" s="22" t="s">
        <v>145</v>
      </c>
      <c r="I896" s="22" t="s">
        <v>50</v>
      </c>
      <c r="J896" s="45">
        <v>12000</v>
      </c>
      <c r="K896" s="1">
        <v>8</v>
      </c>
      <c r="L896" s="2">
        <v>5</v>
      </c>
      <c r="M896" s="45">
        <v>91200</v>
      </c>
      <c r="N896" s="45">
        <v>57622</v>
      </c>
      <c r="O896" s="45">
        <v>33578</v>
      </c>
      <c r="P896" s="3">
        <v>36.82</v>
      </c>
      <c r="Q896" s="32" t="s">
        <v>51</v>
      </c>
      <c r="R896" s="32" t="s">
        <v>29</v>
      </c>
      <c r="S896" s="32" t="s">
        <v>57</v>
      </c>
      <c r="T896" s="32" t="s">
        <v>31</v>
      </c>
      <c r="U896" s="38">
        <v>4</v>
      </c>
      <c r="V896" s="9"/>
    </row>
    <row r="897" spans="1:22" x14ac:dyDescent="0.35">
      <c r="A897" s="18" t="s">
        <v>990</v>
      </c>
      <c r="B897" s="7">
        <v>44961</v>
      </c>
      <c r="C897" s="23" t="s">
        <v>90</v>
      </c>
      <c r="D897" s="23" t="s">
        <v>65</v>
      </c>
      <c r="E897" s="23" t="s">
        <v>48</v>
      </c>
      <c r="F897" s="28">
        <v>2024</v>
      </c>
      <c r="G897" s="23" t="s">
        <v>43</v>
      </c>
      <c r="H897" s="23" t="s">
        <v>126</v>
      </c>
      <c r="I897" s="23" t="s">
        <v>55</v>
      </c>
      <c r="J897" s="46">
        <v>12000</v>
      </c>
      <c r="K897" s="4">
        <v>9</v>
      </c>
      <c r="L897" s="5">
        <v>10</v>
      </c>
      <c r="M897" s="46">
        <v>97200</v>
      </c>
      <c r="N897" s="46">
        <v>61600</v>
      </c>
      <c r="O897" s="46">
        <v>35600</v>
      </c>
      <c r="P897" s="6">
        <v>36.630000000000003</v>
      </c>
      <c r="Q897" s="33" t="s">
        <v>75</v>
      </c>
      <c r="R897" s="33" t="s">
        <v>56</v>
      </c>
      <c r="S897" s="33" t="s">
        <v>40</v>
      </c>
      <c r="T897" s="33" t="s">
        <v>41</v>
      </c>
      <c r="U897" s="39">
        <v>5</v>
      </c>
      <c r="V897" s="9"/>
    </row>
    <row r="898" spans="1:22" x14ac:dyDescent="0.35">
      <c r="A898" s="17" t="s">
        <v>991</v>
      </c>
      <c r="B898" s="8">
        <v>45575</v>
      </c>
      <c r="C898" s="22" t="s">
        <v>22</v>
      </c>
      <c r="D898" s="22" t="s">
        <v>108</v>
      </c>
      <c r="E898" s="22" t="s">
        <v>72</v>
      </c>
      <c r="F898" s="27">
        <v>2024</v>
      </c>
      <c r="G898" s="22" t="s">
        <v>25</v>
      </c>
      <c r="H898" s="22" t="s">
        <v>106</v>
      </c>
      <c r="I898" s="22" t="s">
        <v>38</v>
      </c>
      <c r="J898" s="45">
        <v>12000</v>
      </c>
      <c r="K898" s="1">
        <v>4</v>
      </c>
      <c r="L898" s="2">
        <v>0</v>
      </c>
      <c r="M898" s="45">
        <v>48000</v>
      </c>
      <c r="N898" s="45">
        <v>26423</v>
      </c>
      <c r="O898" s="45">
        <v>21577</v>
      </c>
      <c r="P898" s="3">
        <v>44.95</v>
      </c>
      <c r="Q898" s="32" t="s">
        <v>28</v>
      </c>
      <c r="R898" s="32" t="s">
        <v>45</v>
      </c>
      <c r="S898" s="32" t="s">
        <v>85</v>
      </c>
      <c r="T898" s="32" t="s">
        <v>31</v>
      </c>
      <c r="U898" s="38">
        <v>1</v>
      </c>
      <c r="V898" s="9"/>
    </row>
    <row r="899" spans="1:22" x14ac:dyDescent="0.35">
      <c r="A899" s="18" t="s">
        <v>992</v>
      </c>
      <c r="B899" s="7">
        <v>45479</v>
      </c>
      <c r="C899" s="23" t="s">
        <v>78</v>
      </c>
      <c r="D899" s="23" t="s">
        <v>65</v>
      </c>
      <c r="E899" s="23" t="s">
        <v>48</v>
      </c>
      <c r="F899" s="28">
        <v>2023</v>
      </c>
      <c r="G899" s="23" t="s">
        <v>36</v>
      </c>
      <c r="H899" s="23" t="s">
        <v>145</v>
      </c>
      <c r="I899" s="23" t="s">
        <v>50</v>
      </c>
      <c r="J899" s="46">
        <v>12000</v>
      </c>
      <c r="K899" s="4">
        <v>3</v>
      </c>
      <c r="L899" s="5">
        <v>0</v>
      </c>
      <c r="M899" s="46">
        <v>36000</v>
      </c>
      <c r="N899" s="46">
        <v>22618</v>
      </c>
      <c r="O899" s="46">
        <v>13382</v>
      </c>
      <c r="P899" s="6">
        <v>37.17</v>
      </c>
      <c r="Q899" s="33" t="s">
        <v>75</v>
      </c>
      <c r="R899" s="33" t="s">
        <v>67</v>
      </c>
      <c r="S899" s="33" t="s">
        <v>68</v>
      </c>
      <c r="T899" s="33" t="s">
        <v>31</v>
      </c>
      <c r="U899" s="39">
        <v>1</v>
      </c>
      <c r="V899" s="9"/>
    </row>
    <row r="900" spans="1:22" x14ac:dyDescent="0.35">
      <c r="A900" s="17" t="s">
        <v>993</v>
      </c>
      <c r="B900" s="8">
        <v>45599</v>
      </c>
      <c r="C900" s="22" t="s">
        <v>90</v>
      </c>
      <c r="D900" s="22" t="s">
        <v>116</v>
      </c>
      <c r="E900" s="22" t="s">
        <v>35</v>
      </c>
      <c r="F900" s="27">
        <v>2023</v>
      </c>
      <c r="G900" s="22" t="s">
        <v>43</v>
      </c>
      <c r="H900" s="22" t="s">
        <v>44</v>
      </c>
      <c r="I900" s="22" t="s">
        <v>27</v>
      </c>
      <c r="J900" s="45">
        <v>6000</v>
      </c>
      <c r="K900" s="1">
        <v>7</v>
      </c>
      <c r="L900" s="2">
        <v>15</v>
      </c>
      <c r="M900" s="45">
        <v>35700</v>
      </c>
      <c r="N900" s="45">
        <v>19795</v>
      </c>
      <c r="O900" s="45">
        <v>15905</v>
      </c>
      <c r="P900" s="3">
        <v>44.55</v>
      </c>
      <c r="Q900" s="32" t="s">
        <v>51</v>
      </c>
      <c r="R900" s="32" t="s">
        <v>45</v>
      </c>
      <c r="S900" s="32" t="s">
        <v>30</v>
      </c>
      <c r="T900" s="32" t="s">
        <v>31</v>
      </c>
      <c r="U900" s="38">
        <v>4</v>
      </c>
      <c r="V900" s="9"/>
    </row>
    <row r="901" spans="1:22" x14ac:dyDescent="0.35">
      <c r="A901" s="18" t="s">
        <v>994</v>
      </c>
      <c r="B901" s="7">
        <v>45312</v>
      </c>
      <c r="C901" s="23" t="s">
        <v>53</v>
      </c>
      <c r="D901" s="23" t="s">
        <v>108</v>
      </c>
      <c r="E901" s="23" t="s">
        <v>72</v>
      </c>
      <c r="F901" s="28">
        <v>2024</v>
      </c>
      <c r="G901" s="23" t="s">
        <v>25</v>
      </c>
      <c r="H901" s="23" t="s">
        <v>106</v>
      </c>
      <c r="I901" s="23" t="s">
        <v>38</v>
      </c>
      <c r="J901" s="46">
        <v>12000</v>
      </c>
      <c r="K901" s="4">
        <v>3</v>
      </c>
      <c r="L901" s="5">
        <v>0</v>
      </c>
      <c r="M901" s="46">
        <v>36000</v>
      </c>
      <c r="N901" s="46">
        <v>20665</v>
      </c>
      <c r="O901" s="46">
        <v>15335</v>
      </c>
      <c r="P901" s="6">
        <v>42.6</v>
      </c>
      <c r="Q901" s="33" t="s">
        <v>39</v>
      </c>
      <c r="R901" s="33" t="s">
        <v>76</v>
      </c>
      <c r="S901" s="33" t="s">
        <v>30</v>
      </c>
      <c r="T901" s="33" t="s">
        <v>31</v>
      </c>
      <c r="U901" s="39">
        <v>2</v>
      </c>
      <c r="V901" s="9"/>
    </row>
    <row r="902" spans="1:22" x14ac:dyDescent="0.35">
      <c r="A902" s="17" t="s">
        <v>995</v>
      </c>
      <c r="B902" s="8">
        <v>44930</v>
      </c>
      <c r="C902" s="22" t="s">
        <v>78</v>
      </c>
      <c r="D902" s="22" t="s">
        <v>34</v>
      </c>
      <c r="E902" s="22" t="s">
        <v>35</v>
      </c>
      <c r="F902" s="27">
        <v>2024</v>
      </c>
      <c r="G902" s="22" t="s">
        <v>61</v>
      </c>
      <c r="H902" s="22" t="s">
        <v>66</v>
      </c>
      <c r="I902" s="22" t="s">
        <v>38</v>
      </c>
      <c r="J902" s="45">
        <v>11000</v>
      </c>
      <c r="K902" s="1">
        <v>5</v>
      </c>
      <c r="L902" s="2">
        <v>5</v>
      </c>
      <c r="M902" s="45">
        <v>52250</v>
      </c>
      <c r="N902" s="45">
        <v>32393</v>
      </c>
      <c r="O902" s="45">
        <v>19857</v>
      </c>
      <c r="P902" s="3">
        <v>38</v>
      </c>
      <c r="Q902" s="32" t="s">
        <v>81</v>
      </c>
      <c r="R902" s="32" t="s">
        <v>67</v>
      </c>
      <c r="S902" s="32" t="s">
        <v>30</v>
      </c>
      <c r="T902" s="32" t="s">
        <v>31</v>
      </c>
      <c r="U902" s="38">
        <v>2</v>
      </c>
      <c r="V902" s="9"/>
    </row>
    <row r="903" spans="1:22" x14ac:dyDescent="0.35">
      <c r="A903" s="18" t="s">
        <v>996</v>
      </c>
      <c r="B903" s="7">
        <v>45202</v>
      </c>
      <c r="C903" s="23" t="s">
        <v>78</v>
      </c>
      <c r="D903" s="23" t="s">
        <v>65</v>
      </c>
      <c r="E903" s="23" t="s">
        <v>48</v>
      </c>
      <c r="F903" s="28">
        <v>2023</v>
      </c>
      <c r="G903" s="23" t="s">
        <v>61</v>
      </c>
      <c r="H903" s="23" t="s">
        <v>101</v>
      </c>
      <c r="I903" s="23" t="s">
        <v>27</v>
      </c>
      <c r="J903" s="46">
        <v>9000</v>
      </c>
      <c r="K903" s="4">
        <v>3</v>
      </c>
      <c r="L903" s="5">
        <v>10</v>
      </c>
      <c r="M903" s="46">
        <v>24300</v>
      </c>
      <c r="N903" s="46">
        <v>14027</v>
      </c>
      <c r="O903" s="46">
        <v>10273</v>
      </c>
      <c r="P903" s="6">
        <v>42.28</v>
      </c>
      <c r="Q903" s="33" t="s">
        <v>51</v>
      </c>
      <c r="R903" s="33" t="s">
        <v>67</v>
      </c>
      <c r="S903" s="33" t="s">
        <v>40</v>
      </c>
      <c r="T903" s="33" t="s">
        <v>41</v>
      </c>
      <c r="U903" s="39">
        <v>2</v>
      </c>
      <c r="V903" s="9"/>
    </row>
    <row r="904" spans="1:22" x14ac:dyDescent="0.35">
      <c r="A904" s="17" t="s">
        <v>997</v>
      </c>
      <c r="B904" s="8">
        <v>45569</v>
      </c>
      <c r="C904" s="22" t="s">
        <v>53</v>
      </c>
      <c r="D904" s="22" t="s">
        <v>65</v>
      </c>
      <c r="E904" s="22" t="s">
        <v>48</v>
      </c>
      <c r="F904" s="27">
        <v>2024</v>
      </c>
      <c r="G904" s="22" t="s">
        <v>43</v>
      </c>
      <c r="H904" s="22" t="s">
        <v>123</v>
      </c>
      <c r="I904" s="22" t="s">
        <v>38</v>
      </c>
      <c r="J904" s="45">
        <v>14000</v>
      </c>
      <c r="K904" s="1">
        <v>2</v>
      </c>
      <c r="L904" s="2">
        <v>10</v>
      </c>
      <c r="M904" s="45">
        <v>25200</v>
      </c>
      <c r="N904" s="45">
        <v>15477</v>
      </c>
      <c r="O904" s="45">
        <v>9723</v>
      </c>
      <c r="P904" s="3">
        <v>38.58</v>
      </c>
      <c r="Q904" s="32" t="s">
        <v>39</v>
      </c>
      <c r="R904" s="32" t="s">
        <v>56</v>
      </c>
      <c r="S904" s="32" t="s">
        <v>40</v>
      </c>
      <c r="T904" s="32" t="s">
        <v>31</v>
      </c>
      <c r="U904" s="38">
        <v>4</v>
      </c>
      <c r="V904" s="9"/>
    </row>
    <row r="905" spans="1:22" x14ac:dyDescent="0.35">
      <c r="A905" s="18" t="s">
        <v>998</v>
      </c>
      <c r="B905" s="7">
        <v>45090</v>
      </c>
      <c r="C905" s="23" t="s">
        <v>53</v>
      </c>
      <c r="D905" s="23" t="s">
        <v>71</v>
      </c>
      <c r="E905" s="23" t="s">
        <v>72</v>
      </c>
      <c r="F905" s="28">
        <v>2023</v>
      </c>
      <c r="G905" s="23" t="s">
        <v>25</v>
      </c>
      <c r="H905" s="23" t="s">
        <v>88</v>
      </c>
      <c r="I905" s="23" t="s">
        <v>55</v>
      </c>
      <c r="J905" s="46">
        <v>8000</v>
      </c>
      <c r="K905" s="4">
        <v>2</v>
      </c>
      <c r="L905" s="5">
        <v>20</v>
      </c>
      <c r="M905" s="46">
        <v>12800</v>
      </c>
      <c r="N905" s="46">
        <v>8547</v>
      </c>
      <c r="O905" s="46">
        <v>4253</v>
      </c>
      <c r="P905" s="6">
        <v>33.229999999999997</v>
      </c>
      <c r="Q905" s="33" t="s">
        <v>51</v>
      </c>
      <c r="R905" s="33" t="s">
        <v>45</v>
      </c>
      <c r="S905" s="33" t="s">
        <v>40</v>
      </c>
      <c r="T905" s="33" t="s">
        <v>31</v>
      </c>
      <c r="U905" s="39">
        <v>1</v>
      </c>
      <c r="V905" s="9"/>
    </row>
    <row r="906" spans="1:22" x14ac:dyDescent="0.35">
      <c r="A906" s="17" t="s">
        <v>999</v>
      </c>
      <c r="B906" s="8">
        <v>45599</v>
      </c>
      <c r="C906" s="22" t="s">
        <v>83</v>
      </c>
      <c r="D906" s="22" t="s">
        <v>47</v>
      </c>
      <c r="E906" s="22" t="s">
        <v>48</v>
      </c>
      <c r="F906" s="27">
        <v>2024</v>
      </c>
      <c r="G906" s="22" t="s">
        <v>43</v>
      </c>
      <c r="H906" s="22" t="s">
        <v>131</v>
      </c>
      <c r="I906" s="22" t="s">
        <v>63</v>
      </c>
      <c r="J906" s="45">
        <v>10000</v>
      </c>
      <c r="K906" s="1">
        <v>5</v>
      </c>
      <c r="L906" s="2">
        <v>0</v>
      </c>
      <c r="M906" s="45">
        <v>50000</v>
      </c>
      <c r="N906" s="45">
        <v>28387</v>
      </c>
      <c r="O906" s="45">
        <v>21613</v>
      </c>
      <c r="P906" s="3">
        <v>43.23</v>
      </c>
      <c r="Q906" s="32" t="s">
        <v>81</v>
      </c>
      <c r="R906" s="32" t="s">
        <v>29</v>
      </c>
      <c r="S906" s="32" t="s">
        <v>57</v>
      </c>
      <c r="T906" s="32" t="s">
        <v>31</v>
      </c>
      <c r="U906" s="38">
        <v>3</v>
      </c>
      <c r="V906" s="9"/>
    </row>
    <row r="907" spans="1:22" x14ac:dyDescent="0.35">
      <c r="A907" s="18" t="s">
        <v>1000</v>
      </c>
      <c r="B907" s="7">
        <v>45640</v>
      </c>
      <c r="C907" s="23" t="s">
        <v>78</v>
      </c>
      <c r="D907" s="23" t="s">
        <v>87</v>
      </c>
      <c r="E907" s="23" t="s">
        <v>35</v>
      </c>
      <c r="F907" s="28">
        <v>2023</v>
      </c>
      <c r="G907" s="23" t="s">
        <v>36</v>
      </c>
      <c r="H907" s="23" t="s">
        <v>80</v>
      </c>
      <c r="I907" s="23" t="s">
        <v>55</v>
      </c>
      <c r="J907" s="46">
        <v>25000</v>
      </c>
      <c r="K907" s="4">
        <v>2</v>
      </c>
      <c r="L907" s="5">
        <v>0</v>
      </c>
      <c r="M907" s="46">
        <v>50000</v>
      </c>
      <c r="N907" s="46">
        <v>32575</v>
      </c>
      <c r="O907" s="46">
        <v>17425</v>
      </c>
      <c r="P907" s="6">
        <v>34.85</v>
      </c>
      <c r="Q907" s="33" t="s">
        <v>81</v>
      </c>
      <c r="R907" s="33" t="s">
        <v>56</v>
      </c>
      <c r="S907" s="33" t="s">
        <v>85</v>
      </c>
      <c r="T907" s="33" t="s">
        <v>31</v>
      </c>
      <c r="U907" s="39">
        <v>2</v>
      </c>
      <c r="V907" s="9"/>
    </row>
    <row r="908" spans="1:22" x14ac:dyDescent="0.35">
      <c r="A908" s="17" t="s">
        <v>1001</v>
      </c>
      <c r="B908" s="8">
        <v>45248</v>
      </c>
      <c r="C908" s="22" t="s">
        <v>83</v>
      </c>
      <c r="D908" s="22" t="s">
        <v>23</v>
      </c>
      <c r="E908" s="22" t="s">
        <v>24</v>
      </c>
      <c r="F908" s="27">
        <v>2023</v>
      </c>
      <c r="G908" s="22" t="s">
        <v>61</v>
      </c>
      <c r="H908" s="22" t="s">
        <v>101</v>
      </c>
      <c r="I908" s="22" t="s">
        <v>27</v>
      </c>
      <c r="J908" s="45">
        <v>9000</v>
      </c>
      <c r="K908" s="1">
        <v>10</v>
      </c>
      <c r="L908" s="2">
        <v>0</v>
      </c>
      <c r="M908" s="45">
        <v>90000</v>
      </c>
      <c r="N908" s="45">
        <v>58125</v>
      </c>
      <c r="O908" s="45">
        <v>31875</v>
      </c>
      <c r="P908" s="3">
        <v>35.42</v>
      </c>
      <c r="Q908" s="32" t="s">
        <v>51</v>
      </c>
      <c r="R908" s="32" t="s">
        <v>76</v>
      </c>
      <c r="S908" s="32" t="s">
        <v>30</v>
      </c>
      <c r="T908" s="32" t="s">
        <v>31</v>
      </c>
      <c r="U908" s="38">
        <v>3</v>
      </c>
      <c r="V908" s="9"/>
    </row>
    <row r="909" spans="1:22" x14ac:dyDescent="0.35">
      <c r="A909" s="18" t="s">
        <v>1002</v>
      </c>
      <c r="B909" s="7">
        <v>45287</v>
      </c>
      <c r="C909" s="23" t="s">
        <v>90</v>
      </c>
      <c r="D909" s="23" t="s">
        <v>47</v>
      </c>
      <c r="E909" s="23" t="s">
        <v>48</v>
      </c>
      <c r="F909" s="28">
        <v>2023</v>
      </c>
      <c r="G909" s="23" t="s">
        <v>43</v>
      </c>
      <c r="H909" s="23" t="s">
        <v>145</v>
      </c>
      <c r="I909" s="23" t="s">
        <v>50</v>
      </c>
      <c r="J909" s="46">
        <v>12000</v>
      </c>
      <c r="K909" s="4">
        <v>7</v>
      </c>
      <c r="L909" s="5">
        <v>10</v>
      </c>
      <c r="M909" s="46">
        <v>75600</v>
      </c>
      <c r="N909" s="46">
        <v>44085</v>
      </c>
      <c r="O909" s="46">
        <v>31515</v>
      </c>
      <c r="P909" s="6">
        <v>41.69</v>
      </c>
      <c r="Q909" s="33" t="s">
        <v>51</v>
      </c>
      <c r="R909" s="33" t="s">
        <v>45</v>
      </c>
      <c r="S909" s="33" t="s">
        <v>68</v>
      </c>
      <c r="T909" s="33" t="s">
        <v>41</v>
      </c>
      <c r="U909" s="39">
        <v>4</v>
      </c>
      <c r="V909" s="9"/>
    </row>
    <row r="910" spans="1:22" x14ac:dyDescent="0.35">
      <c r="A910" s="17" t="s">
        <v>1003</v>
      </c>
      <c r="B910" s="8">
        <v>45321</v>
      </c>
      <c r="C910" s="22" t="s">
        <v>33</v>
      </c>
      <c r="D910" s="22" t="s">
        <v>116</v>
      </c>
      <c r="E910" s="22" t="s">
        <v>35</v>
      </c>
      <c r="F910" s="27">
        <v>2024</v>
      </c>
      <c r="G910" s="22" t="s">
        <v>43</v>
      </c>
      <c r="H910" s="22" t="s">
        <v>101</v>
      </c>
      <c r="I910" s="22" t="s">
        <v>27</v>
      </c>
      <c r="J910" s="45">
        <v>9000</v>
      </c>
      <c r="K910" s="1">
        <v>3</v>
      </c>
      <c r="L910" s="2">
        <v>0</v>
      </c>
      <c r="M910" s="45">
        <v>27000</v>
      </c>
      <c r="N910" s="45">
        <v>17545</v>
      </c>
      <c r="O910" s="45">
        <v>9455</v>
      </c>
      <c r="P910" s="3">
        <v>35.020000000000003</v>
      </c>
      <c r="Q910" s="32" t="s">
        <v>51</v>
      </c>
      <c r="R910" s="32" t="s">
        <v>67</v>
      </c>
      <c r="S910" s="32" t="s">
        <v>85</v>
      </c>
      <c r="T910" s="32" t="s">
        <v>41</v>
      </c>
      <c r="U910" s="38">
        <v>2</v>
      </c>
      <c r="V910" s="9"/>
    </row>
    <row r="911" spans="1:22" x14ac:dyDescent="0.35">
      <c r="A911" s="18" t="s">
        <v>1004</v>
      </c>
      <c r="B911" s="7">
        <v>45138</v>
      </c>
      <c r="C911" s="23" t="s">
        <v>90</v>
      </c>
      <c r="D911" s="23" t="s">
        <v>87</v>
      </c>
      <c r="E911" s="23" t="s">
        <v>35</v>
      </c>
      <c r="F911" s="28">
        <v>2023</v>
      </c>
      <c r="G911" s="23" t="s">
        <v>61</v>
      </c>
      <c r="H911" s="23" t="s">
        <v>93</v>
      </c>
      <c r="I911" s="23" t="s">
        <v>63</v>
      </c>
      <c r="J911" s="46">
        <v>14000</v>
      </c>
      <c r="K911" s="4">
        <v>2</v>
      </c>
      <c r="L911" s="5">
        <v>15</v>
      </c>
      <c r="M911" s="46">
        <v>23800</v>
      </c>
      <c r="N911" s="46">
        <v>14027</v>
      </c>
      <c r="O911" s="46">
        <v>9773</v>
      </c>
      <c r="P911" s="6">
        <v>41.06</v>
      </c>
      <c r="Q911" s="33" t="s">
        <v>39</v>
      </c>
      <c r="R911" s="33" t="s">
        <v>56</v>
      </c>
      <c r="S911" s="33" t="s">
        <v>68</v>
      </c>
      <c r="T911" s="33" t="s">
        <v>41</v>
      </c>
      <c r="U911" s="39">
        <v>2</v>
      </c>
      <c r="V911" s="9"/>
    </row>
    <row r="912" spans="1:22" x14ac:dyDescent="0.35">
      <c r="A912" s="17" t="s">
        <v>1005</v>
      </c>
      <c r="B912" s="8">
        <v>45174</v>
      </c>
      <c r="C912" s="22" t="s">
        <v>33</v>
      </c>
      <c r="D912" s="22" t="s">
        <v>97</v>
      </c>
      <c r="E912" s="22" t="s">
        <v>24</v>
      </c>
      <c r="F912" s="27">
        <v>2023</v>
      </c>
      <c r="G912" s="22" t="s">
        <v>36</v>
      </c>
      <c r="H912" s="22" t="s">
        <v>145</v>
      </c>
      <c r="I912" s="22" t="s">
        <v>50</v>
      </c>
      <c r="J912" s="45">
        <v>12000</v>
      </c>
      <c r="K912" s="1">
        <v>10</v>
      </c>
      <c r="L912" s="2">
        <v>20</v>
      </c>
      <c r="M912" s="45">
        <v>96000</v>
      </c>
      <c r="N912" s="45">
        <v>68143</v>
      </c>
      <c r="O912" s="45">
        <v>27857</v>
      </c>
      <c r="P912" s="3">
        <v>29.02</v>
      </c>
      <c r="Q912" s="32" t="s">
        <v>28</v>
      </c>
      <c r="R912" s="32" t="s">
        <v>67</v>
      </c>
      <c r="S912" s="32" t="s">
        <v>68</v>
      </c>
      <c r="T912" s="32" t="s">
        <v>31</v>
      </c>
      <c r="U912" s="38">
        <v>2</v>
      </c>
      <c r="V912" s="9"/>
    </row>
    <row r="913" spans="1:22" x14ac:dyDescent="0.35">
      <c r="A913" s="18" t="s">
        <v>1006</v>
      </c>
      <c r="B913" s="7">
        <v>45358</v>
      </c>
      <c r="C913" s="23" t="s">
        <v>53</v>
      </c>
      <c r="D913" s="23" t="s">
        <v>108</v>
      </c>
      <c r="E913" s="23" t="s">
        <v>72</v>
      </c>
      <c r="F913" s="28">
        <v>2024</v>
      </c>
      <c r="G913" s="23" t="s">
        <v>25</v>
      </c>
      <c r="H913" s="23" t="s">
        <v>93</v>
      </c>
      <c r="I913" s="23" t="s">
        <v>63</v>
      </c>
      <c r="J913" s="46">
        <v>14000</v>
      </c>
      <c r="K913" s="4">
        <v>1</v>
      </c>
      <c r="L913" s="5">
        <v>0</v>
      </c>
      <c r="M913" s="46">
        <v>14000</v>
      </c>
      <c r="N913" s="46">
        <v>9524</v>
      </c>
      <c r="O913" s="46">
        <v>4476</v>
      </c>
      <c r="P913" s="6">
        <v>31.97</v>
      </c>
      <c r="Q913" s="33" t="s">
        <v>81</v>
      </c>
      <c r="R913" s="33" t="s">
        <v>29</v>
      </c>
      <c r="S913" s="33" t="s">
        <v>30</v>
      </c>
      <c r="T913" s="33" t="s">
        <v>31</v>
      </c>
      <c r="U913" s="39">
        <v>4</v>
      </c>
      <c r="V913" s="9"/>
    </row>
    <row r="914" spans="1:22" x14ac:dyDescent="0.35">
      <c r="A914" s="17" t="s">
        <v>1007</v>
      </c>
      <c r="B914" s="8">
        <v>45148</v>
      </c>
      <c r="C914" s="22" t="s">
        <v>53</v>
      </c>
      <c r="D914" s="22" t="s">
        <v>110</v>
      </c>
      <c r="E914" s="22" t="s">
        <v>24</v>
      </c>
      <c r="F914" s="27">
        <v>2023</v>
      </c>
      <c r="G914" s="22" t="s">
        <v>43</v>
      </c>
      <c r="H914" s="22" t="s">
        <v>123</v>
      </c>
      <c r="I914" s="22" t="s">
        <v>38</v>
      </c>
      <c r="J914" s="45">
        <v>14000</v>
      </c>
      <c r="K914" s="1">
        <v>3</v>
      </c>
      <c r="L914" s="2">
        <v>0</v>
      </c>
      <c r="M914" s="45">
        <v>42000</v>
      </c>
      <c r="N914" s="45">
        <v>25100</v>
      </c>
      <c r="O914" s="45">
        <v>16900</v>
      </c>
      <c r="P914" s="3">
        <v>40.24</v>
      </c>
      <c r="Q914" s="32" t="s">
        <v>81</v>
      </c>
      <c r="R914" s="32" t="s">
        <v>45</v>
      </c>
      <c r="S914" s="32" t="s">
        <v>30</v>
      </c>
      <c r="T914" s="32" t="s">
        <v>31</v>
      </c>
      <c r="U914" s="38">
        <v>4</v>
      </c>
      <c r="V914" s="9"/>
    </row>
    <row r="915" spans="1:22" x14ac:dyDescent="0.35">
      <c r="A915" s="18" t="s">
        <v>1008</v>
      </c>
      <c r="B915" s="7">
        <v>45478</v>
      </c>
      <c r="C915" s="23" t="s">
        <v>78</v>
      </c>
      <c r="D915" s="23" t="s">
        <v>79</v>
      </c>
      <c r="E915" s="23" t="s">
        <v>72</v>
      </c>
      <c r="F915" s="28">
        <v>2023</v>
      </c>
      <c r="G915" s="23" t="s">
        <v>43</v>
      </c>
      <c r="H915" s="23" t="s">
        <v>62</v>
      </c>
      <c r="I915" s="23" t="s">
        <v>63</v>
      </c>
      <c r="J915" s="46">
        <v>5000</v>
      </c>
      <c r="K915" s="4">
        <v>8</v>
      </c>
      <c r="L915" s="5">
        <v>15</v>
      </c>
      <c r="M915" s="46">
        <v>34000</v>
      </c>
      <c r="N915" s="46">
        <v>24042</v>
      </c>
      <c r="O915" s="46">
        <v>9958</v>
      </c>
      <c r="P915" s="6">
        <v>29.29</v>
      </c>
      <c r="Q915" s="33" t="s">
        <v>28</v>
      </c>
      <c r="R915" s="33" t="s">
        <v>29</v>
      </c>
      <c r="S915" s="33" t="s">
        <v>40</v>
      </c>
      <c r="T915" s="33" t="s">
        <v>41</v>
      </c>
      <c r="U915" s="39">
        <v>3</v>
      </c>
      <c r="V915" s="9"/>
    </row>
    <row r="916" spans="1:22" x14ac:dyDescent="0.35">
      <c r="A916" s="17" t="s">
        <v>1009</v>
      </c>
      <c r="B916" s="8">
        <v>45577</v>
      </c>
      <c r="C916" s="22" t="s">
        <v>33</v>
      </c>
      <c r="D916" s="22" t="s">
        <v>74</v>
      </c>
      <c r="E916" s="22" t="s">
        <v>48</v>
      </c>
      <c r="F916" s="27">
        <v>2024</v>
      </c>
      <c r="G916" s="22" t="s">
        <v>43</v>
      </c>
      <c r="H916" s="22" t="s">
        <v>119</v>
      </c>
      <c r="I916" s="22" t="s">
        <v>63</v>
      </c>
      <c r="J916" s="45">
        <v>16000</v>
      </c>
      <c r="K916" s="1">
        <v>3</v>
      </c>
      <c r="L916" s="2">
        <v>5</v>
      </c>
      <c r="M916" s="45">
        <v>45600</v>
      </c>
      <c r="N916" s="45">
        <v>27923</v>
      </c>
      <c r="O916" s="45">
        <v>17677</v>
      </c>
      <c r="P916" s="3">
        <v>38.770000000000003</v>
      </c>
      <c r="Q916" s="32" t="s">
        <v>75</v>
      </c>
      <c r="R916" s="32" t="s">
        <v>45</v>
      </c>
      <c r="S916" s="32" t="s">
        <v>57</v>
      </c>
      <c r="T916" s="32" t="s">
        <v>41</v>
      </c>
      <c r="U916" s="38">
        <v>5</v>
      </c>
      <c r="V916" s="9"/>
    </row>
    <row r="917" spans="1:22" x14ac:dyDescent="0.35">
      <c r="A917" s="18" t="s">
        <v>1010</v>
      </c>
      <c r="B917" s="7">
        <v>45392</v>
      </c>
      <c r="C917" s="23" t="s">
        <v>78</v>
      </c>
      <c r="D917" s="23" t="s">
        <v>34</v>
      </c>
      <c r="E917" s="23" t="s">
        <v>35</v>
      </c>
      <c r="F917" s="28">
        <v>2024</v>
      </c>
      <c r="G917" s="23" t="s">
        <v>36</v>
      </c>
      <c r="H917" s="23" t="s">
        <v>117</v>
      </c>
      <c r="I917" s="23" t="s">
        <v>50</v>
      </c>
      <c r="J917" s="46">
        <v>8000</v>
      </c>
      <c r="K917" s="4">
        <v>10</v>
      </c>
      <c r="L917" s="5">
        <v>15</v>
      </c>
      <c r="M917" s="46">
        <v>68000</v>
      </c>
      <c r="N917" s="46">
        <v>38060</v>
      </c>
      <c r="O917" s="46">
        <v>29940</v>
      </c>
      <c r="P917" s="6">
        <v>44.03</v>
      </c>
      <c r="Q917" s="33" t="s">
        <v>39</v>
      </c>
      <c r="R917" s="33" t="s">
        <v>29</v>
      </c>
      <c r="S917" s="33" t="s">
        <v>30</v>
      </c>
      <c r="T917" s="33" t="s">
        <v>31</v>
      </c>
      <c r="U917" s="39">
        <v>3</v>
      </c>
      <c r="V917" s="9"/>
    </row>
    <row r="918" spans="1:22" x14ac:dyDescent="0.35">
      <c r="A918" s="17" t="s">
        <v>1011</v>
      </c>
      <c r="B918" s="8">
        <v>45436</v>
      </c>
      <c r="C918" s="22" t="s">
        <v>53</v>
      </c>
      <c r="D918" s="22" t="s">
        <v>47</v>
      </c>
      <c r="E918" s="22" t="s">
        <v>48</v>
      </c>
      <c r="F918" s="27">
        <v>2024</v>
      </c>
      <c r="G918" s="22" t="s">
        <v>61</v>
      </c>
      <c r="H918" s="22" t="s">
        <v>66</v>
      </c>
      <c r="I918" s="22" t="s">
        <v>38</v>
      </c>
      <c r="J918" s="45">
        <v>11000</v>
      </c>
      <c r="K918" s="1">
        <v>7</v>
      </c>
      <c r="L918" s="2">
        <v>20</v>
      </c>
      <c r="M918" s="45">
        <v>61600</v>
      </c>
      <c r="N918" s="45">
        <v>34644</v>
      </c>
      <c r="O918" s="45">
        <v>26956</v>
      </c>
      <c r="P918" s="3">
        <v>43.76</v>
      </c>
      <c r="Q918" s="32" t="s">
        <v>51</v>
      </c>
      <c r="R918" s="32" t="s">
        <v>67</v>
      </c>
      <c r="S918" s="32" t="s">
        <v>30</v>
      </c>
      <c r="T918" s="32" t="s">
        <v>41</v>
      </c>
      <c r="U918" s="38">
        <v>4</v>
      </c>
      <c r="V918" s="9"/>
    </row>
    <row r="919" spans="1:22" x14ac:dyDescent="0.35">
      <c r="A919" s="18" t="s">
        <v>1012</v>
      </c>
      <c r="B919" s="7">
        <v>44956</v>
      </c>
      <c r="C919" s="23" t="s">
        <v>53</v>
      </c>
      <c r="D919" s="23" t="s">
        <v>23</v>
      </c>
      <c r="E919" s="23" t="s">
        <v>24</v>
      </c>
      <c r="F919" s="28">
        <v>2024</v>
      </c>
      <c r="G919" s="23" t="s">
        <v>36</v>
      </c>
      <c r="H919" s="23" t="s">
        <v>126</v>
      </c>
      <c r="I919" s="23" t="s">
        <v>55</v>
      </c>
      <c r="J919" s="46">
        <v>12000</v>
      </c>
      <c r="K919" s="4">
        <v>2</v>
      </c>
      <c r="L919" s="5">
        <v>0</v>
      </c>
      <c r="M919" s="46">
        <v>24000</v>
      </c>
      <c r="N919" s="46">
        <v>13936</v>
      </c>
      <c r="O919" s="46">
        <v>10064</v>
      </c>
      <c r="P919" s="6">
        <v>41.93</v>
      </c>
      <c r="Q919" s="33" t="s">
        <v>28</v>
      </c>
      <c r="R919" s="33" t="s">
        <v>67</v>
      </c>
      <c r="S919" s="33" t="s">
        <v>40</v>
      </c>
      <c r="T919" s="33" t="s">
        <v>41</v>
      </c>
      <c r="U919" s="39">
        <v>3</v>
      </c>
      <c r="V919" s="9"/>
    </row>
    <row r="920" spans="1:22" x14ac:dyDescent="0.35">
      <c r="A920" s="17" t="s">
        <v>1013</v>
      </c>
      <c r="B920" s="8">
        <v>45439</v>
      </c>
      <c r="C920" s="22" t="s">
        <v>22</v>
      </c>
      <c r="D920" s="22" t="s">
        <v>65</v>
      </c>
      <c r="E920" s="22" t="s">
        <v>48</v>
      </c>
      <c r="F920" s="27">
        <v>2023</v>
      </c>
      <c r="G920" s="22" t="s">
        <v>25</v>
      </c>
      <c r="H920" s="22" t="s">
        <v>145</v>
      </c>
      <c r="I920" s="22" t="s">
        <v>50</v>
      </c>
      <c r="J920" s="45">
        <v>12000</v>
      </c>
      <c r="K920" s="1">
        <v>10</v>
      </c>
      <c r="L920" s="2">
        <v>5</v>
      </c>
      <c r="M920" s="45">
        <v>114000</v>
      </c>
      <c r="N920" s="45">
        <v>66821</v>
      </c>
      <c r="O920" s="45">
        <v>47179</v>
      </c>
      <c r="P920" s="3">
        <v>41.39</v>
      </c>
      <c r="Q920" s="32" t="s">
        <v>51</v>
      </c>
      <c r="R920" s="32" t="s">
        <v>76</v>
      </c>
      <c r="S920" s="32" t="s">
        <v>57</v>
      </c>
      <c r="T920" s="32" t="s">
        <v>31</v>
      </c>
      <c r="U920" s="38">
        <v>5</v>
      </c>
      <c r="V920" s="9"/>
    </row>
    <row r="921" spans="1:22" x14ac:dyDescent="0.35">
      <c r="A921" s="18" t="s">
        <v>1014</v>
      </c>
      <c r="B921" s="7">
        <v>44940</v>
      </c>
      <c r="C921" s="23" t="s">
        <v>78</v>
      </c>
      <c r="D921" s="23" t="s">
        <v>87</v>
      </c>
      <c r="E921" s="23" t="s">
        <v>35</v>
      </c>
      <c r="F921" s="28">
        <v>2023</v>
      </c>
      <c r="G921" s="23" t="s">
        <v>61</v>
      </c>
      <c r="H921" s="23" t="s">
        <v>131</v>
      </c>
      <c r="I921" s="23" t="s">
        <v>63</v>
      </c>
      <c r="J921" s="46">
        <v>10000</v>
      </c>
      <c r="K921" s="4">
        <v>4</v>
      </c>
      <c r="L921" s="5">
        <v>0</v>
      </c>
      <c r="M921" s="46">
        <v>40000</v>
      </c>
      <c r="N921" s="46">
        <v>25864</v>
      </c>
      <c r="O921" s="46">
        <v>14136</v>
      </c>
      <c r="P921" s="6">
        <v>35.340000000000003</v>
      </c>
      <c r="Q921" s="33" t="s">
        <v>75</v>
      </c>
      <c r="R921" s="33" t="s">
        <v>67</v>
      </c>
      <c r="S921" s="33" t="s">
        <v>30</v>
      </c>
      <c r="T921" s="33" t="s">
        <v>41</v>
      </c>
      <c r="U921" s="39">
        <v>4</v>
      </c>
      <c r="V921" s="9"/>
    </row>
    <row r="922" spans="1:22" x14ac:dyDescent="0.35">
      <c r="A922" s="17" t="s">
        <v>1015</v>
      </c>
      <c r="B922" s="8">
        <v>45182</v>
      </c>
      <c r="C922" s="22" t="s">
        <v>90</v>
      </c>
      <c r="D922" s="22" t="s">
        <v>108</v>
      </c>
      <c r="E922" s="22" t="s">
        <v>72</v>
      </c>
      <c r="F922" s="27">
        <v>2023</v>
      </c>
      <c r="G922" s="22" t="s">
        <v>43</v>
      </c>
      <c r="H922" s="22" t="s">
        <v>44</v>
      </c>
      <c r="I922" s="22" t="s">
        <v>27</v>
      </c>
      <c r="J922" s="45">
        <v>6000</v>
      </c>
      <c r="K922" s="1">
        <v>1</v>
      </c>
      <c r="L922" s="2">
        <v>20</v>
      </c>
      <c r="M922" s="45">
        <v>4800</v>
      </c>
      <c r="N922" s="45">
        <v>3198</v>
      </c>
      <c r="O922" s="45">
        <v>1602</v>
      </c>
      <c r="P922" s="3">
        <v>33.380000000000003</v>
      </c>
      <c r="Q922" s="32" t="s">
        <v>81</v>
      </c>
      <c r="R922" s="32" t="s">
        <v>45</v>
      </c>
      <c r="S922" s="32" t="s">
        <v>68</v>
      </c>
      <c r="T922" s="32" t="s">
        <v>31</v>
      </c>
      <c r="U922" s="38">
        <v>1</v>
      </c>
      <c r="V922" s="9"/>
    </row>
    <row r="923" spans="1:22" x14ac:dyDescent="0.35">
      <c r="A923" s="18" t="s">
        <v>1016</v>
      </c>
      <c r="B923" s="7">
        <v>45456</v>
      </c>
      <c r="C923" s="23" t="s">
        <v>70</v>
      </c>
      <c r="D923" s="23" t="s">
        <v>23</v>
      </c>
      <c r="E923" s="23" t="s">
        <v>24</v>
      </c>
      <c r="F923" s="28">
        <v>2023</v>
      </c>
      <c r="G923" s="23" t="s">
        <v>61</v>
      </c>
      <c r="H923" s="23" t="s">
        <v>93</v>
      </c>
      <c r="I923" s="23" t="s">
        <v>63</v>
      </c>
      <c r="J923" s="46">
        <v>14000</v>
      </c>
      <c r="K923" s="4">
        <v>5</v>
      </c>
      <c r="L923" s="5">
        <v>20</v>
      </c>
      <c r="M923" s="46">
        <v>56000</v>
      </c>
      <c r="N923" s="46">
        <v>37580</v>
      </c>
      <c r="O923" s="46">
        <v>18420</v>
      </c>
      <c r="P923" s="6">
        <v>32.89</v>
      </c>
      <c r="Q923" s="33" t="s">
        <v>51</v>
      </c>
      <c r="R923" s="33" t="s">
        <v>29</v>
      </c>
      <c r="S923" s="33" t="s">
        <v>68</v>
      </c>
      <c r="T923" s="33" t="s">
        <v>31</v>
      </c>
      <c r="U923" s="39">
        <v>1</v>
      </c>
      <c r="V923" s="9"/>
    </row>
    <row r="924" spans="1:22" x14ac:dyDescent="0.35">
      <c r="A924" s="17" t="s">
        <v>1017</v>
      </c>
      <c r="B924" s="8">
        <v>45133</v>
      </c>
      <c r="C924" s="22" t="s">
        <v>22</v>
      </c>
      <c r="D924" s="22" t="s">
        <v>34</v>
      </c>
      <c r="E924" s="22" t="s">
        <v>35</v>
      </c>
      <c r="F924" s="27">
        <v>2023</v>
      </c>
      <c r="G924" s="22" t="s">
        <v>36</v>
      </c>
      <c r="H924" s="22" t="s">
        <v>62</v>
      </c>
      <c r="I924" s="22" t="s">
        <v>63</v>
      </c>
      <c r="J924" s="45">
        <v>5000</v>
      </c>
      <c r="K924" s="1">
        <v>5</v>
      </c>
      <c r="L924" s="2">
        <v>0</v>
      </c>
      <c r="M924" s="45">
        <v>25000</v>
      </c>
      <c r="N924" s="45">
        <v>14594</v>
      </c>
      <c r="O924" s="45">
        <v>10406</v>
      </c>
      <c r="P924" s="3">
        <v>41.62</v>
      </c>
      <c r="Q924" s="32" t="s">
        <v>51</v>
      </c>
      <c r="R924" s="32" t="s">
        <v>67</v>
      </c>
      <c r="S924" s="32" t="s">
        <v>40</v>
      </c>
      <c r="T924" s="32" t="s">
        <v>41</v>
      </c>
      <c r="U924" s="38">
        <v>3</v>
      </c>
      <c r="V924" s="9"/>
    </row>
    <row r="925" spans="1:22" x14ac:dyDescent="0.35">
      <c r="A925" s="18" t="s">
        <v>1018</v>
      </c>
      <c r="B925" s="7">
        <v>45179</v>
      </c>
      <c r="C925" s="23" t="s">
        <v>83</v>
      </c>
      <c r="D925" s="23" t="s">
        <v>97</v>
      </c>
      <c r="E925" s="23" t="s">
        <v>24</v>
      </c>
      <c r="F925" s="28">
        <v>2024</v>
      </c>
      <c r="G925" s="23" t="s">
        <v>36</v>
      </c>
      <c r="H925" s="23" t="s">
        <v>126</v>
      </c>
      <c r="I925" s="23" t="s">
        <v>55</v>
      </c>
      <c r="J925" s="46">
        <v>12000</v>
      </c>
      <c r="K925" s="4">
        <v>1</v>
      </c>
      <c r="L925" s="5">
        <v>10</v>
      </c>
      <c r="M925" s="46">
        <v>10800</v>
      </c>
      <c r="N925" s="46">
        <v>7378</v>
      </c>
      <c r="O925" s="46">
        <v>3422</v>
      </c>
      <c r="P925" s="6">
        <v>31.69</v>
      </c>
      <c r="Q925" s="33" t="s">
        <v>75</v>
      </c>
      <c r="R925" s="33" t="s">
        <v>56</v>
      </c>
      <c r="S925" s="33" t="s">
        <v>30</v>
      </c>
      <c r="T925" s="33" t="s">
        <v>41</v>
      </c>
      <c r="U925" s="39">
        <v>3</v>
      </c>
      <c r="V925" s="9"/>
    </row>
    <row r="926" spans="1:22" x14ac:dyDescent="0.35">
      <c r="A926" s="17" t="s">
        <v>1019</v>
      </c>
      <c r="B926" s="8">
        <v>45034</v>
      </c>
      <c r="C926" s="22" t="s">
        <v>70</v>
      </c>
      <c r="D926" s="22" t="s">
        <v>47</v>
      </c>
      <c r="E926" s="22" t="s">
        <v>48</v>
      </c>
      <c r="F926" s="27">
        <v>2023</v>
      </c>
      <c r="G926" s="22" t="s">
        <v>43</v>
      </c>
      <c r="H926" s="22" t="s">
        <v>113</v>
      </c>
      <c r="I926" s="22" t="s">
        <v>38</v>
      </c>
      <c r="J926" s="45">
        <v>3500</v>
      </c>
      <c r="K926" s="1">
        <v>3</v>
      </c>
      <c r="L926" s="2">
        <v>5</v>
      </c>
      <c r="M926" s="45">
        <v>9975</v>
      </c>
      <c r="N926" s="45">
        <v>6952</v>
      </c>
      <c r="O926" s="45">
        <v>3023</v>
      </c>
      <c r="P926" s="3">
        <v>30.31</v>
      </c>
      <c r="Q926" s="32" t="s">
        <v>28</v>
      </c>
      <c r="R926" s="32" t="s">
        <v>67</v>
      </c>
      <c r="S926" s="32" t="s">
        <v>57</v>
      </c>
      <c r="T926" s="32" t="s">
        <v>41</v>
      </c>
      <c r="U926" s="38">
        <v>2</v>
      </c>
      <c r="V926" s="9"/>
    </row>
    <row r="927" spans="1:22" x14ac:dyDescent="0.35">
      <c r="A927" s="18" t="s">
        <v>1020</v>
      </c>
      <c r="B927" s="7">
        <v>45460</v>
      </c>
      <c r="C927" s="23" t="s">
        <v>78</v>
      </c>
      <c r="D927" s="23" t="s">
        <v>23</v>
      </c>
      <c r="E927" s="23" t="s">
        <v>24</v>
      </c>
      <c r="F927" s="28">
        <v>2024</v>
      </c>
      <c r="G927" s="23" t="s">
        <v>36</v>
      </c>
      <c r="H927" s="23" t="s">
        <v>119</v>
      </c>
      <c r="I927" s="23" t="s">
        <v>63</v>
      </c>
      <c r="J927" s="46">
        <v>16000</v>
      </c>
      <c r="K927" s="4">
        <v>2</v>
      </c>
      <c r="L927" s="5">
        <v>0</v>
      </c>
      <c r="M927" s="46">
        <v>32000</v>
      </c>
      <c r="N927" s="46">
        <v>18789</v>
      </c>
      <c r="O927" s="46">
        <v>13211</v>
      </c>
      <c r="P927" s="6">
        <v>41.28</v>
      </c>
      <c r="Q927" s="33" t="s">
        <v>39</v>
      </c>
      <c r="R927" s="33" t="s">
        <v>67</v>
      </c>
      <c r="S927" s="33" t="s">
        <v>85</v>
      </c>
      <c r="T927" s="33" t="s">
        <v>41</v>
      </c>
      <c r="U927" s="39">
        <v>2</v>
      </c>
      <c r="V927" s="9"/>
    </row>
    <row r="928" spans="1:22" x14ac:dyDescent="0.35">
      <c r="A928" s="17" t="s">
        <v>1021</v>
      </c>
      <c r="B928" s="8">
        <v>45509</v>
      </c>
      <c r="C928" s="22" t="s">
        <v>53</v>
      </c>
      <c r="D928" s="22" t="s">
        <v>97</v>
      </c>
      <c r="E928" s="22" t="s">
        <v>24</v>
      </c>
      <c r="F928" s="27">
        <v>2023</v>
      </c>
      <c r="G928" s="22" t="s">
        <v>61</v>
      </c>
      <c r="H928" s="22" t="s">
        <v>37</v>
      </c>
      <c r="I928" s="22" t="s">
        <v>38</v>
      </c>
      <c r="J928" s="45">
        <v>10000</v>
      </c>
      <c r="K928" s="1">
        <v>10</v>
      </c>
      <c r="L928" s="2">
        <v>0</v>
      </c>
      <c r="M928" s="45">
        <v>100000</v>
      </c>
      <c r="N928" s="45">
        <v>61294</v>
      </c>
      <c r="O928" s="45">
        <v>38706</v>
      </c>
      <c r="P928" s="3">
        <v>38.71</v>
      </c>
      <c r="Q928" s="32" t="s">
        <v>81</v>
      </c>
      <c r="R928" s="32" t="s">
        <v>76</v>
      </c>
      <c r="S928" s="32" t="s">
        <v>57</v>
      </c>
      <c r="T928" s="32" t="s">
        <v>31</v>
      </c>
      <c r="U928" s="38">
        <v>4</v>
      </c>
      <c r="V928" s="9"/>
    </row>
    <row r="929" spans="1:22" x14ac:dyDescent="0.35">
      <c r="A929" s="18" t="s">
        <v>1022</v>
      </c>
      <c r="B929" s="7">
        <v>45167</v>
      </c>
      <c r="C929" s="23" t="s">
        <v>53</v>
      </c>
      <c r="D929" s="23" t="s">
        <v>23</v>
      </c>
      <c r="E929" s="23" t="s">
        <v>24</v>
      </c>
      <c r="F929" s="28">
        <v>2024</v>
      </c>
      <c r="G929" s="23" t="s">
        <v>61</v>
      </c>
      <c r="H929" s="23" t="s">
        <v>98</v>
      </c>
      <c r="I929" s="23" t="s">
        <v>63</v>
      </c>
      <c r="J929" s="46">
        <v>28000</v>
      </c>
      <c r="K929" s="4">
        <v>7</v>
      </c>
      <c r="L929" s="5">
        <v>0</v>
      </c>
      <c r="M929" s="46">
        <v>196000</v>
      </c>
      <c r="N929" s="46">
        <v>119536</v>
      </c>
      <c r="O929" s="46">
        <v>76464</v>
      </c>
      <c r="P929" s="6">
        <v>39.01</v>
      </c>
      <c r="Q929" s="33" t="s">
        <v>75</v>
      </c>
      <c r="R929" s="33" t="s">
        <v>67</v>
      </c>
      <c r="S929" s="33" t="s">
        <v>85</v>
      </c>
      <c r="T929" s="33" t="s">
        <v>31</v>
      </c>
      <c r="U929" s="39">
        <v>2</v>
      </c>
      <c r="V929" s="9"/>
    </row>
    <row r="930" spans="1:22" x14ac:dyDescent="0.35">
      <c r="A930" s="17" t="s">
        <v>1023</v>
      </c>
      <c r="B930" s="8">
        <v>45249</v>
      </c>
      <c r="C930" s="22" t="s">
        <v>70</v>
      </c>
      <c r="D930" s="22" t="s">
        <v>34</v>
      </c>
      <c r="E930" s="22" t="s">
        <v>35</v>
      </c>
      <c r="F930" s="27">
        <v>2024</v>
      </c>
      <c r="G930" s="22" t="s">
        <v>61</v>
      </c>
      <c r="H930" s="22" t="s">
        <v>62</v>
      </c>
      <c r="I930" s="22" t="s">
        <v>63</v>
      </c>
      <c r="J930" s="45">
        <v>5000</v>
      </c>
      <c r="K930" s="1">
        <v>3</v>
      </c>
      <c r="L930" s="2">
        <v>10</v>
      </c>
      <c r="M930" s="45">
        <v>13500</v>
      </c>
      <c r="N930" s="45">
        <v>8790</v>
      </c>
      <c r="O930" s="45">
        <v>4710</v>
      </c>
      <c r="P930" s="3">
        <v>34.89</v>
      </c>
      <c r="Q930" s="32" t="s">
        <v>75</v>
      </c>
      <c r="R930" s="32" t="s">
        <v>67</v>
      </c>
      <c r="S930" s="32" t="s">
        <v>40</v>
      </c>
      <c r="T930" s="32" t="s">
        <v>41</v>
      </c>
      <c r="U930" s="38">
        <v>3</v>
      </c>
      <c r="V930" s="9"/>
    </row>
    <row r="931" spans="1:22" x14ac:dyDescent="0.35">
      <c r="A931" s="18" t="s">
        <v>1024</v>
      </c>
      <c r="B931" s="7">
        <v>45020</v>
      </c>
      <c r="C931" s="23" t="s">
        <v>33</v>
      </c>
      <c r="D931" s="23" t="s">
        <v>97</v>
      </c>
      <c r="E931" s="23" t="s">
        <v>24</v>
      </c>
      <c r="F931" s="28">
        <v>2024</v>
      </c>
      <c r="G931" s="23" t="s">
        <v>25</v>
      </c>
      <c r="H931" s="23" t="s">
        <v>80</v>
      </c>
      <c r="I931" s="23" t="s">
        <v>55</v>
      </c>
      <c r="J931" s="46">
        <v>25000</v>
      </c>
      <c r="K931" s="4">
        <v>2</v>
      </c>
      <c r="L931" s="5">
        <v>20</v>
      </c>
      <c r="M931" s="46">
        <v>40000</v>
      </c>
      <c r="N931" s="46">
        <v>27693</v>
      </c>
      <c r="O931" s="46">
        <v>12307</v>
      </c>
      <c r="P931" s="6">
        <v>30.77</v>
      </c>
      <c r="Q931" s="33" t="s">
        <v>28</v>
      </c>
      <c r="R931" s="33" t="s">
        <v>76</v>
      </c>
      <c r="S931" s="33" t="s">
        <v>85</v>
      </c>
      <c r="T931" s="33" t="s">
        <v>31</v>
      </c>
      <c r="U931" s="39">
        <v>4</v>
      </c>
      <c r="V931" s="9"/>
    </row>
    <row r="932" spans="1:22" x14ac:dyDescent="0.35">
      <c r="A932" s="17" t="s">
        <v>1025</v>
      </c>
      <c r="B932" s="8">
        <v>45453</v>
      </c>
      <c r="C932" s="22" t="s">
        <v>90</v>
      </c>
      <c r="D932" s="22" t="s">
        <v>79</v>
      </c>
      <c r="E932" s="22" t="s">
        <v>72</v>
      </c>
      <c r="F932" s="27">
        <v>2024</v>
      </c>
      <c r="G932" s="22" t="s">
        <v>36</v>
      </c>
      <c r="H932" s="22" t="s">
        <v>80</v>
      </c>
      <c r="I932" s="22" t="s">
        <v>55</v>
      </c>
      <c r="J932" s="45">
        <v>25000</v>
      </c>
      <c r="K932" s="1">
        <v>8</v>
      </c>
      <c r="L932" s="2">
        <v>10</v>
      </c>
      <c r="M932" s="45">
        <v>180000</v>
      </c>
      <c r="N932" s="45">
        <v>116786</v>
      </c>
      <c r="O932" s="45">
        <v>63214</v>
      </c>
      <c r="P932" s="3">
        <v>35.119999999999997</v>
      </c>
      <c r="Q932" s="32" t="s">
        <v>28</v>
      </c>
      <c r="R932" s="32" t="s">
        <v>45</v>
      </c>
      <c r="S932" s="32" t="s">
        <v>40</v>
      </c>
      <c r="T932" s="32" t="s">
        <v>31</v>
      </c>
      <c r="U932" s="38">
        <v>4</v>
      </c>
      <c r="V932" s="9"/>
    </row>
    <row r="933" spans="1:22" x14ac:dyDescent="0.35">
      <c r="A933" s="18" t="s">
        <v>1026</v>
      </c>
      <c r="B933" s="7">
        <v>45032</v>
      </c>
      <c r="C933" s="23" t="s">
        <v>33</v>
      </c>
      <c r="D933" s="23" t="s">
        <v>71</v>
      </c>
      <c r="E933" s="23" t="s">
        <v>72</v>
      </c>
      <c r="F933" s="28">
        <v>2024</v>
      </c>
      <c r="G933" s="23" t="s">
        <v>25</v>
      </c>
      <c r="H933" s="23" t="s">
        <v>93</v>
      </c>
      <c r="I933" s="23" t="s">
        <v>63</v>
      </c>
      <c r="J933" s="46">
        <v>14000</v>
      </c>
      <c r="K933" s="4">
        <v>4</v>
      </c>
      <c r="L933" s="5">
        <v>20</v>
      </c>
      <c r="M933" s="46">
        <v>44800</v>
      </c>
      <c r="N933" s="46">
        <v>28216</v>
      </c>
      <c r="O933" s="46">
        <v>16584</v>
      </c>
      <c r="P933" s="6">
        <v>37.020000000000003</v>
      </c>
      <c r="Q933" s="33" t="s">
        <v>28</v>
      </c>
      <c r="R933" s="33" t="s">
        <v>45</v>
      </c>
      <c r="S933" s="33" t="s">
        <v>40</v>
      </c>
      <c r="T933" s="33" t="s">
        <v>41</v>
      </c>
      <c r="U933" s="39">
        <v>1</v>
      </c>
      <c r="V933" s="9"/>
    </row>
    <row r="934" spans="1:22" x14ac:dyDescent="0.35">
      <c r="A934" s="17" t="s">
        <v>1027</v>
      </c>
      <c r="B934" s="8">
        <v>45524</v>
      </c>
      <c r="C934" s="22" t="s">
        <v>78</v>
      </c>
      <c r="D934" s="22" t="s">
        <v>47</v>
      </c>
      <c r="E934" s="22" t="s">
        <v>48</v>
      </c>
      <c r="F934" s="27">
        <v>2024</v>
      </c>
      <c r="G934" s="22" t="s">
        <v>36</v>
      </c>
      <c r="H934" s="22" t="s">
        <v>66</v>
      </c>
      <c r="I934" s="22" t="s">
        <v>38</v>
      </c>
      <c r="J934" s="45">
        <v>11000</v>
      </c>
      <c r="K934" s="1">
        <v>5</v>
      </c>
      <c r="L934" s="2">
        <v>0</v>
      </c>
      <c r="M934" s="45">
        <v>55000</v>
      </c>
      <c r="N934" s="45">
        <v>38474</v>
      </c>
      <c r="O934" s="45">
        <v>16526</v>
      </c>
      <c r="P934" s="3">
        <v>30.05</v>
      </c>
      <c r="Q934" s="32" t="s">
        <v>81</v>
      </c>
      <c r="R934" s="32" t="s">
        <v>45</v>
      </c>
      <c r="S934" s="32" t="s">
        <v>40</v>
      </c>
      <c r="T934" s="32" t="s">
        <v>31</v>
      </c>
      <c r="U934" s="38">
        <v>4</v>
      </c>
      <c r="V934" s="9"/>
    </row>
    <row r="935" spans="1:22" x14ac:dyDescent="0.35">
      <c r="A935" s="18" t="s">
        <v>1028</v>
      </c>
      <c r="B935" s="7">
        <v>44971</v>
      </c>
      <c r="C935" s="23" t="s">
        <v>78</v>
      </c>
      <c r="D935" s="23" t="s">
        <v>74</v>
      </c>
      <c r="E935" s="23" t="s">
        <v>48</v>
      </c>
      <c r="F935" s="28">
        <v>2023</v>
      </c>
      <c r="G935" s="23" t="s">
        <v>61</v>
      </c>
      <c r="H935" s="23" t="s">
        <v>26</v>
      </c>
      <c r="I935" s="23" t="s">
        <v>27</v>
      </c>
      <c r="J935" s="46">
        <v>5000</v>
      </c>
      <c r="K935" s="4">
        <v>3</v>
      </c>
      <c r="L935" s="5">
        <v>20</v>
      </c>
      <c r="M935" s="46">
        <v>12000</v>
      </c>
      <c r="N935" s="46">
        <v>7364</v>
      </c>
      <c r="O935" s="46">
        <v>4636</v>
      </c>
      <c r="P935" s="6">
        <v>38.630000000000003</v>
      </c>
      <c r="Q935" s="33" t="s">
        <v>75</v>
      </c>
      <c r="R935" s="33" t="s">
        <v>29</v>
      </c>
      <c r="S935" s="33" t="s">
        <v>57</v>
      </c>
      <c r="T935" s="33" t="s">
        <v>31</v>
      </c>
      <c r="U935" s="39">
        <v>5</v>
      </c>
      <c r="V935" s="9"/>
    </row>
    <row r="936" spans="1:22" x14ac:dyDescent="0.35">
      <c r="A936" s="17" t="s">
        <v>1029</v>
      </c>
      <c r="B936" s="8">
        <v>45290</v>
      </c>
      <c r="C936" s="22" t="s">
        <v>53</v>
      </c>
      <c r="D936" s="22" t="s">
        <v>65</v>
      </c>
      <c r="E936" s="22" t="s">
        <v>48</v>
      </c>
      <c r="F936" s="27">
        <v>2024</v>
      </c>
      <c r="G936" s="22" t="s">
        <v>25</v>
      </c>
      <c r="H936" s="22" t="s">
        <v>66</v>
      </c>
      <c r="I936" s="22" t="s">
        <v>38</v>
      </c>
      <c r="J936" s="45">
        <v>11000</v>
      </c>
      <c r="K936" s="1">
        <v>7</v>
      </c>
      <c r="L936" s="2">
        <v>0</v>
      </c>
      <c r="M936" s="45">
        <v>77000</v>
      </c>
      <c r="N936" s="45">
        <v>50417</v>
      </c>
      <c r="O936" s="45">
        <v>26583</v>
      </c>
      <c r="P936" s="3">
        <v>34.520000000000003</v>
      </c>
      <c r="Q936" s="32" t="s">
        <v>51</v>
      </c>
      <c r="R936" s="32" t="s">
        <v>76</v>
      </c>
      <c r="S936" s="32" t="s">
        <v>85</v>
      </c>
      <c r="T936" s="32" t="s">
        <v>31</v>
      </c>
      <c r="U936" s="38">
        <v>4</v>
      </c>
      <c r="V936" s="9"/>
    </row>
    <row r="937" spans="1:22" x14ac:dyDescent="0.35">
      <c r="A937" s="18" t="s">
        <v>1030</v>
      </c>
      <c r="B937" s="7">
        <v>45349</v>
      </c>
      <c r="C937" s="23" t="s">
        <v>83</v>
      </c>
      <c r="D937" s="23" t="s">
        <v>87</v>
      </c>
      <c r="E937" s="23" t="s">
        <v>35</v>
      </c>
      <c r="F937" s="28">
        <v>2023</v>
      </c>
      <c r="G937" s="23" t="s">
        <v>43</v>
      </c>
      <c r="H937" s="23" t="s">
        <v>62</v>
      </c>
      <c r="I937" s="23" t="s">
        <v>63</v>
      </c>
      <c r="J937" s="46">
        <v>5000</v>
      </c>
      <c r="K937" s="4">
        <v>9</v>
      </c>
      <c r="L937" s="5">
        <v>0</v>
      </c>
      <c r="M937" s="46">
        <v>45000</v>
      </c>
      <c r="N937" s="46">
        <v>28096</v>
      </c>
      <c r="O937" s="46">
        <v>16904</v>
      </c>
      <c r="P937" s="6">
        <v>37.56</v>
      </c>
      <c r="Q937" s="33" t="s">
        <v>28</v>
      </c>
      <c r="R937" s="33" t="s">
        <v>56</v>
      </c>
      <c r="S937" s="33" t="s">
        <v>85</v>
      </c>
      <c r="T937" s="33" t="s">
        <v>41</v>
      </c>
      <c r="U937" s="39">
        <v>3</v>
      </c>
      <c r="V937" s="9"/>
    </row>
    <row r="938" spans="1:22" x14ac:dyDescent="0.35">
      <c r="A938" s="17" t="s">
        <v>1031</v>
      </c>
      <c r="B938" s="8">
        <v>45295</v>
      </c>
      <c r="C938" s="22" t="s">
        <v>53</v>
      </c>
      <c r="D938" s="22" t="s">
        <v>71</v>
      </c>
      <c r="E938" s="22" t="s">
        <v>72</v>
      </c>
      <c r="F938" s="27">
        <v>2024</v>
      </c>
      <c r="G938" s="22" t="s">
        <v>36</v>
      </c>
      <c r="H938" s="22" t="s">
        <v>123</v>
      </c>
      <c r="I938" s="22" t="s">
        <v>38</v>
      </c>
      <c r="J938" s="45">
        <v>14000</v>
      </c>
      <c r="K938" s="1">
        <v>4</v>
      </c>
      <c r="L938" s="2">
        <v>0</v>
      </c>
      <c r="M938" s="45">
        <v>56000</v>
      </c>
      <c r="N938" s="45">
        <v>31688</v>
      </c>
      <c r="O938" s="45">
        <v>24312</v>
      </c>
      <c r="P938" s="3">
        <v>43.41</v>
      </c>
      <c r="Q938" s="32" t="s">
        <v>51</v>
      </c>
      <c r="R938" s="32" t="s">
        <v>76</v>
      </c>
      <c r="S938" s="32" t="s">
        <v>85</v>
      </c>
      <c r="T938" s="32" t="s">
        <v>31</v>
      </c>
      <c r="U938" s="38">
        <v>5</v>
      </c>
      <c r="V938" s="9"/>
    </row>
    <row r="939" spans="1:22" x14ac:dyDescent="0.35">
      <c r="A939" s="18" t="s">
        <v>1032</v>
      </c>
      <c r="B939" s="7">
        <v>45254</v>
      </c>
      <c r="C939" s="23" t="s">
        <v>22</v>
      </c>
      <c r="D939" s="23" t="s">
        <v>97</v>
      </c>
      <c r="E939" s="23" t="s">
        <v>24</v>
      </c>
      <c r="F939" s="28">
        <v>2024</v>
      </c>
      <c r="G939" s="23" t="s">
        <v>36</v>
      </c>
      <c r="H939" s="23" t="s">
        <v>80</v>
      </c>
      <c r="I939" s="23" t="s">
        <v>55</v>
      </c>
      <c r="J939" s="46">
        <v>25000</v>
      </c>
      <c r="K939" s="4">
        <v>10</v>
      </c>
      <c r="L939" s="5">
        <v>5</v>
      </c>
      <c r="M939" s="46">
        <v>237500</v>
      </c>
      <c r="N939" s="46">
        <v>131646</v>
      </c>
      <c r="O939" s="46">
        <v>105854</v>
      </c>
      <c r="P939" s="6">
        <v>44.57</v>
      </c>
      <c r="Q939" s="33" t="s">
        <v>39</v>
      </c>
      <c r="R939" s="33" t="s">
        <v>67</v>
      </c>
      <c r="S939" s="33" t="s">
        <v>57</v>
      </c>
      <c r="T939" s="33" t="s">
        <v>31</v>
      </c>
      <c r="U939" s="39">
        <v>2</v>
      </c>
      <c r="V939" s="9"/>
    </row>
    <row r="940" spans="1:22" x14ac:dyDescent="0.35">
      <c r="A940" s="17" t="s">
        <v>1033</v>
      </c>
      <c r="B940" s="8">
        <v>45030</v>
      </c>
      <c r="C940" s="22" t="s">
        <v>22</v>
      </c>
      <c r="D940" s="22" t="s">
        <v>110</v>
      </c>
      <c r="E940" s="22" t="s">
        <v>24</v>
      </c>
      <c r="F940" s="27">
        <v>2023</v>
      </c>
      <c r="G940" s="22" t="s">
        <v>61</v>
      </c>
      <c r="H940" s="22" t="s">
        <v>66</v>
      </c>
      <c r="I940" s="22" t="s">
        <v>38</v>
      </c>
      <c r="J940" s="45">
        <v>11000</v>
      </c>
      <c r="K940" s="1">
        <v>4</v>
      </c>
      <c r="L940" s="2">
        <v>15</v>
      </c>
      <c r="M940" s="45">
        <v>37400</v>
      </c>
      <c r="N940" s="45">
        <v>25529</v>
      </c>
      <c r="O940" s="45">
        <v>11871</v>
      </c>
      <c r="P940" s="3">
        <v>31.74</v>
      </c>
      <c r="Q940" s="32" t="s">
        <v>51</v>
      </c>
      <c r="R940" s="32" t="s">
        <v>45</v>
      </c>
      <c r="S940" s="32" t="s">
        <v>30</v>
      </c>
      <c r="T940" s="32" t="s">
        <v>31</v>
      </c>
      <c r="U940" s="38">
        <v>2</v>
      </c>
      <c r="V940" s="9"/>
    </row>
    <row r="941" spans="1:22" x14ac:dyDescent="0.35">
      <c r="A941" s="18" t="s">
        <v>1034</v>
      </c>
      <c r="B941" s="7">
        <v>45107</v>
      </c>
      <c r="C941" s="23" t="s">
        <v>78</v>
      </c>
      <c r="D941" s="23" t="s">
        <v>23</v>
      </c>
      <c r="E941" s="23" t="s">
        <v>24</v>
      </c>
      <c r="F941" s="28">
        <v>2024</v>
      </c>
      <c r="G941" s="23" t="s">
        <v>36</v>
      </c>
      <c r="H941" s="23" t="s">
        <v>101</v>
      </c>
      <c r="I941" s="23" t="s">
        <v>27</v>
      </c>
      <c r="J941" s="46">
        <v>9000</v>
      </c>
      <c r="K941" s="4">
        <v>2</v>
      </c>
      <c r="L941" s="5">
        <v>0</v>
      </c>
      <c r="M941" s="46">
        <v>18000</v>
      </c>
      <c r="N941" s="46">
        <v>11305</v>
      </c>
      <c r="O941" s="46">
        <v>6695</v>
      </c>
      <c r="P941" s="6">
        <v>37.19</v>
      </c>
      <c r="Q941" s="33" t="s">
        <v>75</v>
      </c>
      <c r="R941" s="33" t="s">
        <v>76</v>
      </c>
      <c r="S941" s="33" t="s">
        <v>30</v>
      </c>
      <c r="T941" s="33" t="s">
        <v>41</v>
      </c>
      <c r="U941" s="39">
        <v>3</v>
      </c>
      <c r="V941" s="9"/>
    </row>
    <row r="942" spans="1:22" x14ac:dyDescent="0.35">
      <c r="A942" s="17" t="s">
        <v>1035</v>
      </c>
      <c r="B942" s="8">
        <v>45120</v>
      </c>
      <c r="C942" s="22" t="s">
        <v>83</v>
      </c>
      <c r="D942" s="22" t="s">
        <v>71</v>
      </c>
      <c r="E942" s="22" t="s">
        <v>72</v>
      </c>
      <c r="F942" s="27">
        <v>2023</v>
      </c>
      <c r="G942" s="22" t="s">
        <v>25</v>
      </c>
      <c r="H942" s="22" t="s">
        <v>26</v>
      </c>
      <c r="I942" s="22" t="s">
        <v>27</v>
      </c>
      <c r="J942" s="45">
        <v>5000</v>
      </c>
      <c r="K942" s="1">
        <v>8</v>
      </c>
      <c r="L942" s="2">
        <v>20</v>
      </c>
      <c r="M942" s="45">
        <v>32000</v>
      </c>
      <c r="N942" s="45">
        <v>19566</v>
      </c>
      <c r="O942" s="45">
        <v>12434</v>
      </c>
      <c r="P942" s="3">
        <v>38.86</v>
      </c>
      <c r="Q942" s="32" t="s">
        <v>39</v>
      </c>
      <c r="R942" s="32" t="s">
        <v>67</v>
      </c>
      <c r="S942" s="32" t="s">
        <v>30</v>
      </c>
      <c r="T942" s="32" t="s">
        <v>31</v>
      </c>
      <c r="U942" s="38">
        <v>4</v>
      </c>
      <c r="V942" s="9"/>
    </row>
    <row r="943" spans="1:22" x14ac:dyDescent="0.35">
      <c r="A943" s="18" t="s">
        <v>1036</v>
      </c>
      <c r="B943" s="7">
        <v>45417</v>
      </c>
      <c r="C943" s="23" t="s">
        <v>78</v>
      </c>
      <c r="D943" s="23" t="s">
        <v>65</v>
      </c>
      <c r="E943" s="23" t="s">
        <v>48</v>
      </c>
      <c r="F943" s="28">
        <v>2023</v>
      </c>
      <c r="G943" s="23" t="s">
        <v>36</v>
      </c>
      <c r="H943" s="23" t="s">
        <v>93</v>
      </c>
      <c r="I943" s="23" t="s">
        <v>63</v>
      </c>
      <c r="J943" s="46">
        <v>14000</v>
      </c>
      <c r="K943" s="4">
        <v>4</v>
      </c>
      <c r="L943" s="5">
        <v>15</v>
      </c>
      <c r="M943" s="46">
        <v>47600</v>
      </c>
      <c r="N943" s="46">
        <v>29578</v>
      </c>
      <c r="O943" s="46">
        <v>18022</v>
      </c>
      <c r="P943" s="6">
        <v>37.86</v>
      </c>
      <c r="Q943" s="33" t="s">
        <v>81</v>
      </c>
      <c r="R943" s="33" t="s">
        <v>67</v>
      </c>
      <c r="S943" s="33" t="s">
        <v>68</v>
      </c>
      <c r="T943" s="33" t="s">
        <v>41</v>
      </c>
      <c r="U943" s="39">
        <v>1</v>
      </c>
      <c r="V943" s="9"/>
    </row>
    <row r="944" spans="1:22" x14ac:dyDescent="0.35">
      <c r="A944" s="17" t="s">
        <v>1037</v>
      </c>
      <c r="B944" s="8">
        <v>45528</v>
      </c>
      <c r="C944" s="22" t="s">
        <v>70</v>
      </c>
      <c r="D944" s="22" t="s">
        <v>71</v>
      </c>
      <c r="E944" s="22" t="s">
        <v>72</v>
      </c>
      <c r="F944" s="27">
        <v>2023</v>
      </c>
      <c r="G944" s="22" t="s">
        <v>43</v>
      </c>
      <c r="H944" s="22" t="s">
        <v>88</v>
      </c>
      <c r="I944" s="22" t="s">
        <v>55</v>
      </c>
      <c r="J944" s="45">
        <v>8000</v>
      </c>
      <c r="K944" s="1">
        <v>1</v>
      </c>
      <c r="L944" s="2">
        <v>0</v>
      </c>
      <c r="M944" s="45">
        <v>8000</v>
      </c>
      <c r="N944" s="45">
        <v>5727</v>
      </c>
      <c r="O944" s="45">
        <v>2273</v>
      </c>
      <c r="P944" s="3">
        <v>28.41</v>
      </c>
      <c r="Q944" s="32" t="s">
        <v>81</v>
      </c>
      <c r="R944" s="32" t="s">
        <v>67</v>
      </c>
      <c r="S944" s="32" t="s">
        <v>85</v>
      </c>
      <c r="T944" s="32" t="s">
        <v>31</v>
      </c>
      <c r="U944" s="38">
        <v>5</v>
      </c>
      <c r="V944" s="9"/>
    </row>
    <row r="945" spans="1:22" x14ac:dyDescent="0.35">
      <c r="A945" s="18" t="s">
        <v>1038</v>
      </c>
      <c r="B945" s="7">
        <v>45258</v>
      </c>
      <c r="C945" s="23" t="s">
        <v>90</v>
      </c>
      <c r="D945" s="23" t="s">
        <v>79</v>
      </c>
      <c r="E945" s="23" t="s">
        <v>72</v>
      </c>
      <c r="F945" s="28">
        <v>2023</v>
      </c>
      <c r="G945" s="23" t="s">
        <v>36</v>
      </c>
      <c r="H945" s="23" t="s">
        <v>44</v>
      </c>
      <c r="I945" s="23" t="s">
        <v>27</v>
      </c>
      <c r="J945" s="46">
        <v>6000</v>
      </c>
      <c r="K945" s="4">
        <v>10</v>
      </c>
      <c r="L945" s="5">
        <v>0</v>
      </c>
      <c r="M945" s="46">
        <v>60000</v>
      </c>
      <c r="N945" s="46">
        <v>38467</v>
      </c>
      <c r="O945" s="46">
        <v>21533</v>
      </c>
      <c r="P945" s="6">
        <v>35.89</v>
      </c>
      <c r="Q945" s="33" t="s">
        <v>75</v>
      </c>
      <c r="R945" s="33" t="s">
        <v>29</v>
      </c>
      <c r="S945" s="33" t="s">
        <v>68</v>
      </c>
      <c r="T945" s="33" t="s">
        <v>41</v>
      </c>
      <c r="U945" s="39">
        <v>1</v>
      </c>
      <c r="V945" s="9"/>
    </row>
    <row r="946" spans="1:22" x14ac:dyDescent="0.35">
      <c r="A946" s="17" t="s">
        <v>1039</v>
      </c>
      <c r="B946" s="8">
        <v>45107</v>
      </c>
      <c r="C946" s="22" t="s">
        <v>78</v>
      </c>
      <c r="D946" s="22" t="s">
        <v>108</v>
      </c>
      <c r="E946" s="22" t="s">
        <v>72</v>
      </c>
      <c r="F946" s="27">
        <v>2023</v>
      </c>
      <c r="G946" s="22" t="s">
        <v>25</v>
      </c>
      <c r="H946" s="22" t="s">
        <v>84</v>
      </c>
      <c r="I946" s="22" t="s">
        <v>27</v>
      </c>
      <c r="J946" s="45">
        <v>8000</v>
      </c>
      <c r="K946" s="1">
        <v>3</v>
      </c>
      <c r="L946" s="2">
        <v>0</v>
      </c>
      <c r="M946" s="45">
        <v>24000</v>
      </c>
      <c r="N946" s="45">
        <v>13540</v>
      </c>
      <c r="O946" s="45">
        <v>10460</v>
      </c>
      <c r="P946" s="3">
        <v>43.58</v>
      </c>
      <c r="Q946" s="32" t="s">
        <v>39</v>
      </c>
      <c r="R946" s="32" t="s">
        <v>45</v>
      </c>
      <c r="S946" s="32" t="s">
        <v>57</v>
      </c>
      <c r="T946" s="32" t="s">
        <v>31</v>
      </c>
      <c r="U946" s="38">
        <v>1</v>
      </c>
      <c r="V946" s="9"/>
    </row>
    <row r="947" spans="1:22" x14ac:dyDescent="0.35">
      <c r="A947" s="18" t="s">
        <v>1040</v>
      </c>
      <c r="B947" s="7">
        <v>45253</v>
      </c>
      <c r="C947" s="23" t="s">
        <v>53</v>
      </c>
      <c r="D947" s="23" t="s">
        <v>97</v>
      </c>
      <c r="E947" s="23" t="s">
        <v>24</v>
      </c>
      <c r="F947" s="28">
        <v>2023</v>
      </c>
      <c r="G947" s="23" t="s">
        <v>36</v>
      </c>
      <c r="H947" s="23" t="s">
        <v>54</v>
      </c>
      <c r="I947" s="23" t="s">
        <v>55</v>
      </c>
      <c r="J947" s="46">
        <v>18000</v>
      </c>
      <c r="K947" s="4">
        <v>8</v>
      </c>
      <c r="L947" s="5">
        <v>15</v>
      </c>
      <c r="M947" s="46">
        <v>122400</v>
      </c>
      <c r="N947" s="46">
        <v>84154</v>
      </c>
      <c r="O947" s="46">
        <v>38246</v>
      </c>
      <c r="P947" s="6">
        <v>31.25</v>
      </c>
      <c r="Q947" s="33" t="s">
        <v>51</v>
      </c>
      <c r="R947" s="33" t="s">
        <v>29</v>
      </c>
      <c r="S947" s="33" t="s">
        <v>40</v>
      </c>
      <c r="T947" s="33" t="s">
        <v>41</v>
      </c>
      <c r="U947" s="39">
        <v>2</v>
      </c>
      <c r="V947" s="9"/>
    </row>
    <row r="948" spans="1:22" x14ac:dyDescent="0.35">
      <c r="A948" s="17" t="s">
        <v>1041</v>
      </c>
      <c r="B948" s="8">
        <v>45099</v>
      </c>
      <c r="C948" s="22" t="s">
        <v>53</v>
      </c>
      <c r="D948" s="22" t="s">
        <v>71</v>
      </c>
      <c r="E948" s="22" t="s">
        <v>72</v>
      </c>
      <c r="F948" s="27">
        <v>2023</v>
      </c>
      <c r="G948" s="22" t="s">
        <v>36</v>
      </c>
      <c r="H948" s="22" t="s">
        <v>59</v>
      </c>
      <c r="I948" s="22" t="s">
        <v>50</v>
      </c>
      <c r="J948" s="45">
        <v>22000</v>
      </c>
      <c r="K948" s="1">
        <v>2</v>
      </c>
      <c r="L948" s="2">
        <v>10</v>
      </c>
      <c r="M948" s="45">
        <v>39600</v>
      </c>
      <c r="N948" s="45">
        <v>27120</v>
      </c>
      <c r="O948" s="45">
        <v>12480</v>
      </c>
      <c r="P948" s="3">
        <v>31.52</v>
      </c>
      <c r="Q948" s="32" t="s">
        <v>75</v>
      </c>
      <c r="R948" s="32" t="s">
        <v>45</v>
      </c>
      <c r="S948" s="32" t="s">
        <v>68</v>
      </c>
      <c r="T948" s="32" t="s">
        <v>41</v>
      </c>
      <c r="U948" s="38">
        <v>4</v>
      </c>
      <c r="V948" s="9"/>
    </row>
    <row r="949" spans="1:22" x14ac:dyDescent="0.35">
      <c r="A949" s="18" t="s">
        <v>1042</v>
      </c>
      <c r="B949" s="7">
        <v>44977</v>
      </c>
      <c r="C949" s="23" t="s">
        <v>90</v>
      </c>
      <c r="D949" s="23" t="s">
        <v>34</v>
      </c>
      <c r="E949" s="23" t="s">
        <v>35</v>
      </c>
      <c r="F949" s="28">
        <v>2024</v>
      </c>
      <c r="G949" s="23" t="s">
        <v>25</v>
      </c>
      <c r="H949" s="23" t="s">
        <v>119</v>
      </c>
      <c r="I949" s="23" t="s">
        <v>63</v>
      </c>
      <c r="J949" s="46">
        <v>16000</v>
      </c>
      <c r="K949" s="4">
        <v>5</v>
      </c>
      <c r="L949" s="5">
        <v>20</v>
      </c>
      <c r="M949" s="46">
        <v>64000</v>
      </c>
      <c r="N949" s="46">
        <v>38668</v>
      </c>
      <c r="O949" s="46">
        <v>25332</v>
      </c>
      <c r="P949" s="6">
        <v>39.58</v>
      </c>
      <c r="Q949" s="33" t="s">
        <v>28</v>
      </c>
      <c r="R949" s="33" t="s">
        <v>29</v>
      </c>
      <c r="S949" s="33" t="s">
        <v>40</v>
      </c>
      <c r="T949" s="33" t="s">
        <v>31</v>
      </c>
      <c r="U949" s="39">
        <v>5</v>
      </c>
      <c r="V949" s="9"/>
    </row>
    <row r="950" spans="1:22" x14ac:dyDescent="0.35">
      <c r="A950" s="17" t="s">
        <v>1043</v>
      </c>
      <c r="B950" s="8">
        <v>45519</v>
      </c>
      <c r="C950" s="22" t="s">
        <v>33</v>
      </c>
      <c r="D950" s="22" t="s">
        <v>97</v>
      </c>
      <c r="E950" s="22" t="s">
        <v>24</v>
      </c>
      <c r="F950" s="27">
        <v>2023</v>
      </c>
      <c r="G950" s="22" t="s">
        <v>25</v>
      </c>
      <c r="H950" s="22" t="s">
        <v>117</v>
      </c>
      <c r="I950" s="22" t="s">
        <v>50</v>
      </c>
      <c r="J950" s="45">
        <v>8000</v>
      </c>
      <c r="K950" s="1">
        <v>8</v>
      </c>
      <c r="L950" s="2">
        <v>0</v>
      </c>
      <c r="M950" s="45">
        <v>64000</v>
      </c>
      <c r="N950" s="45">
        <v>44877</v>
      </c>
      <c r="O950" s="45">
        <v>19123</v>
      </c>
      <c r="P950" s="3">
        <v>29.88</v>
      </c>
      <c r="Q950" s="32" t="s">
        <v>75</v>
      </c>
      <c r="R950" s="32" t="s">
        <v>45</v>
      </c>
      <c r="S950" s="32" t="s">
        <v>85</v>
      </c>
      <c r="T950" s="32" t="s">
        <v>41</v>
      </c>
      <c r="U950" s="38">
        <v>5</v>
      </c>
      <c r="V950" s="9"/>
    </row>
    <row r="951" spans="1:22" x14ac:dyDescent="0.35">
      <c r="A951" s="18" t="s">
        <v>1044</v>
      </c>
      <c r="B951" s="7">
        <v>45003</v>
      </c>
      <c r="C951" s="23" t="s">
        <v>83</v>
      </c>
      <c r="D951" s="23" t="s">
        <v>23</v>
      </c>
      <c r="E951" s="23" t="s">
        <v>24</v>
      </c>
      <c r="F951" s="28">
        <v>2024</v>
      </c>
      <c r="G951" s="23" t="s">
        <v>61</v>
      </c>
      <c r="H951" s="23" t="s">
        <v>54</v>
      </c>
      <c r="I951" s="23" t="s">
        <v>55</v>
      </c>
      <c r="J951" s="46">
        <v>18000</v>
      </c>
      <c r="K951" s="4">
        <v>7</v>
      </c>
      <c r="L951" s="5">
        <v>0</v>
      </c>
      <c r="M951" s="46">
        <v>126000</v>
      </c>
      <c r="N951" s="46">
        <v>71756</v>
      </c>
      <c r="O951" s="46">
        <v>54244</v>
      </c>
      <c r="P951" s="6">
        <v>43.05</v>
      </c>
      <c r="Q951" s="33" t="s">
        <v>81</v>
      </c>
      <c r="R951" s="33" t="s">
        <v>67</v>
      </c>
      <c r="S951" s="33" t="s">
        <v>68</v>
      </c>
      <c r="T951" s="33" t="s">
        <v>31</v>
      </c>
      <c r="U951" s="39">
        <v>1</v>
      </c>
      <c r="V951" s="9"/>
    </row>
    <row r="952" spans="1:22" x14ac:dyDescent="0.35">
      <c r="A952" s="17" t="s">
        <v>1045</v>
      </c>
      <c r="B952" s="8">
        <v>45568</v>
      </c>
      <c r="C952" s="22" t="s">
        <v>22</v>
      </c>
      <c r="D952" s="22" t="s">
        <v>108</v>
      </c>
      <c r="E952" s="22" t="s">
        <v>72</v>
      </c>
      <c r="F952" s="27">
        <v>2023</v>
      </c>
      <c r="G952" s="22" t="s">
        <v>61</v>
      </c>
      <c r="H952" s="22" t="s">
        <v>145</v>
      </c>
      <c r="I952" s="22" t="s">
        <v>50</v>
      </c>
      <c r="J952" s="45">
        <v>12000</v>
      </c>
      <c r="K952" s="1">
        <v>3</v>
      </c>
      <c r="L952" s="2">
        <v>20</v>
      </c>
      <c r="M952" s="45">
        <v>28800</v>
      </c>
      <c r="N952" s="45">
        <v>17380</v>
      </c>
      <c r="O952" s="45">
        <v>11420</v>
      </c>
      <c r="P952" s="3">
        <v>39.65</v>
      </c>
      <c r="Q952" s="32" t="s">
        <v>28</v>
      </c>
      <c r="R952" s="32" t="s">
        <v>45</v>
      </c>
      <c r="S952" s="32" t="s">
        <v>30</v>
      </c>
      <c r="T952" s="32" t="s">
        <v>31</v>
      </c>
      <c r="U952" s="38">
        <v>4</v>
      </c>
      <c r="V952" s="9"/>
    </row>
    <row r="953" spans="1:22" x14ac:dyDescent="0.35">
      <c r="A953" s="18" t="s">
        <v>1046</v>
      </c>
      <c r="B953" s="7">
        <v>45232</v>
      </c>
      <c r="C953" s="23" t="s">
        <v>70</v>
      </c>
      <c r="D953" s="23" t="s">
        <v>108</v>
      </c>
      <c r="E953" s="23" t="s">
        <v>72</v>
      </c>
      <c r="F953" s="28">
        <v>2024</v>
      </c>
      <c r="G953" s="23" t="s">
        <v>36</v>
      </c>
      <c r="H953" s="23" t="s">
        <v>104</v>
      </c>
      <c r="I953" s="23" t="s">
        <v>50</v>
      </c>
      <c r="J953" s="46">
        <v>15000</v>
      </c>
      <c r="K953" s="4">
        <v>9</v>
      </c>
      <c r="L953" s="5">
        <v>0</v>
      </c>
      <c r="M953" s="46">
        <v>135000</v>
      </c>
      <c r="N953" s="46">
        <v>83099</v>
      </c>
      <c r="O953" s="46">
        <v>51901</v>
      </c>
      <c r="P953" s="6">
        <v>38.450000000000003</v>
      </c>
      <c r="Q953" s="33" t="s">
        <v>75</v>
      </c>
      <c r="R953" s="33" t="s">
        <v>56</v>
      </c>
      <c r="S953" s="33" t="s">
        <v>85</v>
      </c>
      <c r="T953" s="33" t="s">
        <v>31</v>
      </c>
      <c r="U953" s="39">
        <v>5</v>
      </c>
      <c r="V953" s="9"/>
    </row>
    <row r="954" spans="1:22" x14ac:dyDescent="0.35">
      <c r="A954" s="17" t="s">
        <v>1047</v>
      </c>
      <c r="B954" s="8">
        <v>44988</v>
      </c>
      <c r="C954" s="22" t="s">
        <v>33</v>
      </c>
      <c r="D954" s="22" t="s">
        <v>23</v>
      </c>
      <c r="E954" s="22" t="s">
        <v>24</v>
      </c>
      <c r="F954" s="27">
        <v>2023</v>
      </c>
      <c r="G954" s="22" t="s">
        <v>36</v>
      </c>
      <c r="H954" s="22" t="s">
        <v>80</v>
      </c>
      <c r="I954" s="22" t="s">
        <v>55</v>
      </c>
      <c r="J954" s="45">
        <v>25000</v>
      </c>
      <c r="K954" s="1">
        <v>10</v>
      </c>
      <c r="L954" s="2">
        <v>15</v>
      </c>
      <c r="M954" s="45">
        <v>212500</v>
      </c>
      <c r="N954" s="45">
        <v>132111</v>
      </c>
      <c r="O954" s="45">
        <v>80389</v>
      </c>
      <c r="P954" s="3">
        <v>37.83</v>
      </c>
      <c r="Q954" s="32" t="s">
        <v>51</v>
      </c>
      <c r="R954" s="32" t="s">
        <v>45</v>
      </c>
      <c r="S954" s="32" t="s">
        <v>57</v>
      </c>
      <c r="T954" s="32" t="s">
        <v>31</v>
      </c>
      <c r="U954" s="38">
        <v>1</v>
      </c>
      <c r="V954" s="9"/>
    </row>
    <row r="955" spans="1:22" x14ac:dyDescent="0.35">
      <c r="A955" s="18" t="s">
        <v>1048</v>
      </c>
      <c r="B955" s="7">
        <v>45243</v>
      </c>
      <c r="C955" s="23" t="s">
        <v>90</v>
      </c>
      <c r="D955" s="23" t="s">
        <v>116</v>
      </c>
      <c r="E955" s="23" t="s">
        <v>35</v>
      </c>
      <c r="F955" s="28">
        <v>2024</v>
      </c>
      <c r="G955" s="23" t="s">
        <v>61</v>
      </c>
      <c r="H955" s="23" t="s">
        <v>93</v>
      </c>
      <c r="I955" s="23" t="s">
        <v>63</v>
      </c>
      <c r="J955" s="46">
        <v>14000</v>
      </c>
      <c r="K955" s="4">
        <v>5</v>
      </c>
      <c r="L955" s="5">
        <v>5</v>
      </c>
      <c r="M955" s="46">
        <v>66500</v>
      </c>
      <c r="N955" s="46">
        <v>37923</v>
      </c>
      <c r="O955" s="46">
        <v>28577</v>
      </c>
      <c r="P955" s="6">
        <v>42.97</v>
      </c>
      <c r="Q955" s="33" t="s">
        <v>51</v>
      </c>
      <c r="R955" s="33" t="s">
        <v>56</v>
      </c>
      <c r="S955" s="33" t="s">
        <v>85</v>
      </c>
      <c r="T955" s="33" t="s">
        <v>41</v>
      </c>
      <c r="U955" s="39">
        <v>2</v>
      </c>
      <c r="V955" s="9"/>
    </row>
    <row r="956" spans="1:22" x14ac:dyDescent="0.35">
      <c r="A956" s="17" t="s">
        <v>1049</v>
      </c>
      <c r="B956" s="8">
        <v>45119</v>
      </c>
      <c r="C956" s="22" t="s">
        <v>83</v>
      </c>
      <c r="D956" s="22" t="s">
        <v>108</v>
      </c>
      <c r="E956" s="22" t="s">
        <v>72</v>
      </c>
      <c r="F956" s="27">
        <v>2024</v>
      </c>
      <c r="G956" s="22" t="s">
        <v>61</v>
      </c>
      <c r="H956" s="22" t="s">
        <v>84</v>
      </c>
      <c r="I956" s="22" t="s">
        <v>27</v>
      </c>
      <c r="J956" s="45">
        <v>8000</v>
      </c>
      <c r="K956" s="1">
        <v>1</v>
      </c>
      <c r="L956" s="2">
        <v>15</v>
      </c>
      <c r="M956" s="45">
        <v>6800</v>
      </c>
      <c r="N956" s="45">
        <v>4646</v>
      </c>
      <c r="O956" s="45">
        <v>2154</v>
      </c>
      <c r="P956" s="3">
        <v>31.68</v>
      </c>
      <c r="Q956" s="32" t="s">
        <v>75</v>
      </c>
      <c r="R956" s="32" t="s">
        <v>76</v>
      </c>
      <c r="S956" s="32" t="s">
        <v>40</v>
      </c>
      <c r="T956" s="32" t="s">
        <v>31</v>
      </c>
      <c r="U956" s="38">
        <v>4</v>
      </c>
      <c r="V956" s="9"/>
    </row>
    <row r="957" spans="1:22" x14ac:dyDescent="0.35">
      <c r="A957" s="18" t="s">
        <v>1050</v>
      </c>
      <c r="B957" s="7">
        <v>45015</v>
      </c>
      <c r="C957" s="23" t="s">
        <v>83</v>
      </c>
      <c r="D957" s="23" t="s">
        <v>74</v>
      </c>
      <c r="E957" s="23" t="s">
        <v>48</v>
      </c>
      <c r="F957" s="28">
        <v>2023</v>
      </c>
      <c r="G957" s="23" t="s">
        <v>25</v>
      </c>
      <c r="H957" s="23" t="s">
        <v>88</v>
      </c>
      <c r="I957" s="23" t="s">
        <v>55</v>
      </c>
      <c r="J957" s="46">
        <v>8000</v>
      </c>
      <c r="K957" s="4">
        <v>1</v>
      </c>
      <c r="L957" s="5">
        <v>0</v>
      </c>
      <c r="M957" s="46">
        <v>8000</v>
      </c>
      <c r="N957" s="46">
        <v>5277</v>
      </c>
      <c r="O957" s="46">
        <v>2723</v>
      </c>
      <c r="P957" s="6">
        <v>34.04</v>
      </c>
      <c r="Q957" s="33" t="s">
        <v>28</v>
      </c>
      <c r="R957" s="33" t="s">
        <v>67</v>
      </c>
      <c r="S957" s="33" t="s">
        <v>30</v>
      </c>
      <c r="T957" s="33" t="s">
        <v>41</v>
      </c>
      <c r="U957" s="39">
        <v>3</v>
      </c>
      <c r="V957" s="9"/>
    </row>
    <row r="958" spans="1:22" x14ac:dyDescent="0.35">
      <c r="A958" s="17" t="s">
        <v>1051</v>
      </c>
      <c r="B958" s="8">
        <v>45169</v>
      </c>
      <c r="C958" s="22" t="s">
        <v>83</v>
      </c>
      <c r="D958" s="22" t="s">
        <v>110</v>
      </c>
      <c r="E958" s="22" t="s">
        <v>24</v>
      </c>
      <c r="F958" s="27">
        <v>2023</v>
      </c>
      <c r="G958" s="22" t="s">
        <v>25</v>
      </c>
      <c r="H958" s="22" t="s">
        <v>59</v>
      </c>
      <c r="I958" s="22" t="s">
        <v>50</v>
      </c>
      <c r="J958" s="45">
        <v>22000</v>
      </c>
      <c r="K958" s="1">
        <v>2</v>
      </c>
      <c r="L958" s="2">
        <v>10</v>
      </c>
      <c r="M958" s="45">
        <v>39600</v>
      </c>
      <c r="N958" s="45">
        <v>26995</v>
      </c>
      <c r="O958" s="45">
        <v>12605</v>
      </c>
      <c r="P958" s="3">
        <v>31.83</v>
      </c>
      <c r="Q958" s="32" t="s">
        <v>51</v>
      </c>
      <c r="R958" s="32" t="s">
        <v>29</v>
      </c>
      <c r="S958" s="32" t="s">
        <v>30</v>
      </c>
      <c r="T958" s="32" t="s">
        <v>41</v>
      </c>
      <c r="U958" s="38">
        <v>4</v>
      </c>
      <c r="V958" s="9"/>
    </row>
    <row r="959" spans="1:22" x14ac:dyDescent="0.35">
      <c r="A959" s="18" t="s">
        <v>1052</v>
      </c>
      <c r="B959" s="7">
        <v>45105</v>
      </c>
      <c r="C959" s="23" t="s">
        <v>90</v>
      </c>
      <c r="D959" s="23" t="s">
        <v>116</v>
      </c>
      <c r="E959" s="23" t="s">
        <v>35</v>
      </c>
      <c r="F959" s="28">
        <v>2024</v>
      </c>
      <c r="G959" s="23" t="s">
        <v>43</v>
      </c>
      <c r="H959" s="23" t="s">
        <v>84</v>
      </c>
      <c r="I959" s="23" t="s">
        <v>27</v>
      </c>
      <c r="J959" s="46">
        <v>8000</v>
      </c>
      <c r="K959" s="4">
        <v>10</v>
      </c>
      <c r="L959" s="5">
        <v>0</v>
      </c>
      <c r="M959" s="46">
        <v>80000</v>
      </c>
      <c r="N959" s="46">
        <v>44398</v>
      </c>
      <c r="O959" s="46">
        <v>35602</v>
      </c>
      <c r="P959" s="6">
        <v>44.5</v>
      </c>
      <c r="Q959" s="33" t="s">
        <v>28</v>
      </c>
      <c r="R959" s="33" t="s">
        <v>76</v>
      </c>
      <c r="S959" s="33" t="s">
        <v>68</v>
      </c>
      <c r="T959" s="33" t="s">
        <v>41</v>
      </c>
      <c r="U959" s="39">
        <v>4</v>
      </c>
      <c r="V959" s="9"/>
    </row>
    <row r="960" spans="1:22" x14ac:dyDescent="0.35">
      <c r="A960" s="17" t="s">
        <v>1053</v>
      </c>
      <c r="B960" s="8">
        <v>44996</v>
      </c>
      <c r="C960" s="22" t="s">
        <v>70</v>
      </c>
      <c r="D960" s="22" t="s">
        <v>108</v>
      </c>
      <c r="E960" s="22" t="s">
        <v>72</v>
      </c>
      <c r="F960" s="27">
        <v>2023</v>
      </c>
      <c r="G960" s="22" t="s">
        <v>43</v>
      </c>
      <c r="H960" s="22" t="s">
        <v>106</v>
      </c>
      <c r="I960" s="22" t="s">
        <v>38</v>
      </c>
      <c r="J960" s="45">
        <v>12000</v>
      </c>
      <c r="K960" s="1">
        <v>4</v>
      </c>
      <c r="L960" s="2">
        <v>15</v>
      </c>
      <c r="M960" s="45">
        <v>40800</v>
      </c>
      <c r="N960" s="45">
        <v>28698</v>
      </c>
      <c r="O960" s="45">
        <v>12102</v>
      </c>
      <c r="P960" s="3">
        <v>29.66</v>
      </c>
      <c r="Q960" s="32" t="s">
        <v>81</v>
      </c>
      <c r="R960" s="32" t="s">
        <v>29</v>
      </c>
      <c r="S960" s="32" t="s">
        <v>30</v>
      </c>
      <c r="T960" s="32" t="s">
        <v>41</v>
      </c>
      <c r="U960" s="38">
        <v>1</v>
      </c>
      <c r="V960" s="9"/>
    </row>
    <row r="961" spans="1:22" x14ac:dyDescent="0.35">
      <c r="A961" s="18" t="s">
        <v>1054</v>
      </c>
      <c r="B961" s="7">
        <v>45334</v>
      </c>
      <c r="C961" s="23" t="s">
        <v>90</v>
      </c>
      <c r="D961" s="23" t="s">
        <v>34</v>
      </c>
      <c r="E961" s="23" t="s">
        <v>35</v>
      </c>
      <c r="F961" s="28">
        <v>2023</v>
      </c>
      <c r="G961" s="23" t="s">
        <v>36</v>
      </c>
      <c r="H961" s="23" t="s">
        <v>84</v>
      </c>
      <c r="I961" s="23" t="s">
        <v>27</v>
      </c>
      <c r="J961" s="46">
        <v>8000</v>
      </c>
      <c r="K961" s="4">
        <v>2</v>
      </c>
      <c r="L961" s="5">
        <v>0</v>
      </c>
      <c r="M961" s="46">
        <v>16000</v>
      </c>
      <c r="N961" s="46">
        <v>9696</v>
      </c>
      <c r="O961" s="46">
        <v>6304</v>
      </c>
      <c r="P961" s="6">
        <v>39.4</v>
      </c>
      <c r="Q961" s="33" t="s">
        <v>75</v>
      </c>
      <c r="R961" s="33" t="s">
        <v>67</v>
      </c>
      <c r="S961" s="33" t="s">
        <v>57</v>
      </c>
      <c r="T961" s="33" t="s">
        <v>31</v>
      </c>
      <c r="U961" s="39">
        <v>5</v>
      </c>
      <c r="V961" s="9"/>
    </row>
    <row r="962" spans="1:22" x14ac:dyDescent="0.35">
      <c r="A962" s="17" t="s">
        <v>1055</v>
      </c>
      <c r="B962" s="8">
        <v>45280</v>
      </c>
      <c r="C962" s="22" t="s">
        <v>83</v>
      </c>
      <c r="D962" s="22" t="s">
        <v>34</v>
      </c>
      <c r="E962" s="22" t="s">
        <v>35</v>
      </c>
      <c r="F962" s="27">
        <v>2024</v>
      </c>
      <c r="G962" s="22" t="s">
        <v>43</v>
      </c>
      <c r="H962" s="22" t="s">
        <v>44</v>
      </c>
      <c r="I962" s="22" t="s">
        <v>27</v>
      </c>
      <c r="J962" s="45">
        <v>6000</v>
      </c>
      <c r="K962" s="1">
        <v>6</v>
      </c>
      <c r="L962" s="2">
        <v>20</v>
      </c>
      <c r="M962" s="45">
        <v>28800</v>
      </c>
      <c r="N962" s="45">
        <v>16565</v>
      </c>
      <c r="O962" s="45">
        <v>12235</v>
      </c>
      <c r="P962" s="3">
        <v>42.48</v>
      </c>
      <c r="Q962" s="32" t="s">
        <v>75</v>
      </c>
      <c r="R962" s="32" t="s">
        <v>67</v>
      </c>
      <c r="S962" s="32" t="s">
        <v>40</v>
      </c>
      <c r="T962" s="32" t="s">
        <v>31</v>
      </c>
      <c r="U962" s="38">
        <v>5</v>
      </c>
      <c r="V962" s="9"/>
    </row>
    <row r="963" spans="1:22" x14ac:dyDescent="0.35">
      <c r="A963" s="18" t="s">
        <v>1056</v>
      </c>
      <c r="B963" s="7">
        <v>45075</v>
      </c>
      <c r="C963" s="23" t="s">
        <v>53</v>
      </c>
      <c r="D963" s="23" t="s">
        <v>116</v>
      </c>
      <c r="E963" s="23" t="s">
        <v>35</v>
      </c>
      <c r="F963" s="28">
        <v>2024</v>
      </c>
      <c r="G963" s="23" t="s">
        <v>61</v>
      </c>
      <c r="H963" s="23" t="s">
        <v>62</v>
      </c>
      <c r="I963" s="23" t="s">
        <v>63</v>
      </c>
      <c r="J963" s="46">
        <v>5000</v>
      </c>
      <c r="K963" s="4">
        <v>6</v>
      </c>
      <c r="L963" s="5">
        <v>20</v>
      </c>
      <c r="M963" s="46">
        <v>24000</v>
      </c>
      <c r="N963" s="46">
        <v>16182</v>
      </c>
      <c r="O963" s="46">
        <v>7818</v>
      </c>
      <c r="P963" s="6">
        <v>32.57</v>
      </c>
      <c r="Q963" s="33" t="s">
        <v>39</v>
      </c>
      <c r="R963" s="33" t="s">
        <v>76</v>
      </c>
      <c r="S963" s="33" t="s">
        <v>57</v>
      </c>
      <c r="T963" s="33" t="s">
        <v>31</v>
      </c>
      <c r="U963" s="39">
        <v>3</v>
      </c>
      <c r="V963" s="9"/>
    </row>
    <row r="964" spans="1:22" x14ac:dyDescent="0.35">
      <c r="A964" s="17" t="s">
        <v>1057</v>
      </c>
      <c r="B964" s="8">
        <v>44948</v>
      </c>
      <c r="C964" s="22" t="s">
        <v>33</v>
      </c>
      <c r="D964" s="22" t="s">
        <v>71</v>
      </c>
      <c r="E964" s="22" t="s">
        <v>72</v>
      </c>
      <c r="F964" s="27">
        <v>2024</v>
      </c>
      <c r="G964" s="22" t="s">
        <v>36</v>
      </c>
      <c r="H964" s="22" t="s">
        <v>37</v>
      </c>
      <c r="I964" s="22" t="s">
        <v>38</v>
      </c>
      <c r="J964" s="45">
        <v>10000</v>
      </c>
      <c r="K964" s="1">
        <v>2</v>
      </c>
      <c r="L964" s="2">
        <v>0</v>
      </c>
      <c r="M964" s="45">
        <v>20000</v>
      </c>
      <c r="N964" s="45">
        <v>14304</v>
      </c>
      <c r="O964" s="45">
        <v>5696</v>
      </c>
      <c r="P964" s="3">
        <v>28.48</v>
      </c>
      <c r="Q964" s="32" t="s">
        <v>28</v>
      </c>
      <c r="R964" s="32" t="s">
        <v>56</v>
      </c>
      <c r="S964" s="32" t="s">
        <v>30</v>
      </c>
      <c r="T964" s="32" t="s">
        <v>41</v>
      </c>
      <c r="U964" s="38">
        <v>4</v>
      </c>
      <c r="V964" s="9"/>
    </row>
    <row r="965" spans="1:22" x14ac:dyDescent="0.35">
      <c r="A965" s="18" t="s">
        <v>1058</v>
      </c>
      <c r="B965" s="7">
        <v>45203</v>
      </c>
      <c r="C965" s="23" t="s">
        <v>22</v>
      </c>
      <c r="D965" s="23" t="s">
        <v>71</v>
      </c>
      <c r="E965" s="23" t="s">
        <v>72</v>
      </c>
      <c r="F965" s="28">
        <v>2023</v>
      </c>
      <c r="G965" s="23" t="s">
        <v>61</v>
      </c>
      <c r="H965" s="23" t="s">
        <v>93</v>
      </c>
      <c r="I965" s="23" t="s">
        <v>63</v>
      </c>
      <c r="J965" s="46">
        <v>14000</v>
      </c>
      <c r="K965" s="4">
        <v>6</v>
      </c>
      <c r="L965" s="5">
        <v>0</v>
      </c>
      <c r="M965" s="46">
        <v>84000</v>
      </c>
      <c r="N965" s="46">
        <v>57824</v>
      </c>
      <c r="O965" s="46">
        <v>26176</v>
      </c>
      <c r="P965" s="6">
        <v>31.16</v>
      </c>
      <c r="Q965" s="33" t="s">
        <v>75</v>
      </c>
      <c r="R965" s="33" t="s">
        <v>29</v>
      </c>
      <c r="S965" s="33" t="s">
        <v>57</v>
      </c>
      <c r="T965" s="33" t="s">
        <v>41</v>
      </c>
      <c r="U965" s="39">
        <v>2</v>
      </c>
      <c r="V965" s="9"/>
    </row>
    <row r="966" spans="1:22" x14ac:dyDescent="0.35">
      <c r="A966" s="17" t="s">
        <v>1059</v>
      </c>
      <c r="B966" s="8">
        <v>45090</v>
      </c>
      <c r="C966" s="22" t="s">
        <v>78</v>
      </c>
      <c r="D966" s="22" t="s">
        <v>116</v>
      </c>
      <c r="E966" s="22" t="s">
        <v>35</v>
      </c>
      <c r="F966" s="27">
        <v>2024</v>
      </c>
      <c r="G966" s="22" t="s">
        <v>36</v>
      </c>
      <c r="H966" s="22" t="s">
        <v>44</v>
      </c>
      <c r="I966" s="22" t="s">
        <v>27</v>
      </c>
      <c r="J966" s="45">
        <v>6000</v>
      </c>
      <c r="K966" s="1">
        <v>4</v>
      </c>
      <c r="L966" s="2">
        <v>0</v>
      </c>
      <c r="M966" s="45">
        <v>24000</v>
      </c>
      <c r="N966" s="45">
        <v>14773</v>
      </c>
      <c r="O966" s="45">
        <v>9227</v>
      </c>
      <c r="P966" s="3">
        <v>38.450000000000003</v>
      </c>
      <c r="Q966" s="32" t="s">
        <v>51</v>
      </c>
      <c r="R966" s="32" t="s">
        <v>29</v>
      </c>
      <c r="S966" s="32" t="s">
        <v>85</v>
      </c>
      <c r="T966" s="32" t="s">
        <v>41</v>
      </c>
      <c r="U966" s="38">
        <v>2</v>
      </c>
      <c r="V966" s="9"/>
    </row>
    <row r="967" spans="1:22" x14ac:dyDescent="0.35">
      <c r="A967" s="18" t="s">
        <v>1060</v>
      </c>
      <c r="B967" s="7">
        <v>44987</v>
      </c>
      <c r="C967" s="23" t="s">
        <v>70</v>
      </c>
      <c r="D967" s="23" t="s">
        <v>65</v>
      </c>
      <c r="E967" s="23" t="s">
        <v>48</v>
      </c>
      <c r="F967" s="28">
        <v>2023</v>
      </c>
      <c r="G967" s="23" t="s">
        <v>25</v>
      </c>
      <c r="H967" s="23" t="s">
        <v>59</v>
      </c>
      <c r="I967" s="23" t="s">
        <v>50</v>
      </c>
      <c r="J967" s="46">
        <v>22000</v>
      </c>
      <c r="K967" s="4">
        <v>3</v>
      </c>
      <c r="L967" s="5">
        <v>15</v>
      </c>
      <c r="M967" s="46">
        <v>56100</v>
      </c>
      <c r="N967" s="46">
        <v>33784</v>
      </c>
      <c r="O967" s="46">
        <v>22316</v>
      </c>
      <c r="P967" s="6">
        <v>39.78</v>
      </c>
      <c r="Q967" s="33" t="s">
        <v>75</v>
      </c>
      <c r="R967" s="33" t="s">
        <v>76</v>
      </c>
      <c r="S967" s="33" t="s">
        <v>68</v>
      </c>
      <c r="T967" s="33" t="s">
        <v>31</v>
      </c>
      <c r="U967" s="39">
        <v>1</v>
      </c>
      <c r="V967" s="9"/>
    </row>
    <row r="968" spans="1:22" x14ac:dyDescent="0.35">
      <c r="A968" s="17" t="s">
        <v>1061</v>
      </c>
      <c r="B968" s="8">
        <v>45625</v>
      </c>
      <c r="C968" s="22" t="s">
        <v>90</v>
      </c>
      <c r="D968" s="22" t="s">
        <v>79</v>
      </c>
      <c r="E968" s="22" t="s">
        <v>72</v>
      </c>
      <c r="F968" s="27">
        <v>2023</v>
      </c>
      <c r="G968" s="22" t="s">
        <v>61</v>
      </c>
      <c r="H968" s="22" t="s">
        <v>174</v>
      </c>
      <c r="I968" s="22" t="s">
        <v>27</v>
      </c>
      <c r="J968" s="45">
        <v>12000</v>
      </c>
      <c r="K968" s="1">
        <v>3</v>
      </c>
      <c r="L968" s="2">
        <v>0</v>
      </c>
      <c r="M968" s="45">
        <v>36000</v>
      </c>
      <c r="N968" s="45">
        <v>19975</v>
      </c>
      <c r="O968" s="45">
        <v>16025</v>
      </c>
      <c r="P968" s="3">
        <v>44.51</v>
      </c>
      <c r="Q968" s="32" t="s">
        <v>75</v>
      </c>
      <c r="R968" s="32" t="s">
        <v>67</v>
      </c>
      <c r="S968" s="32" t="s">
        <v>57</v>
      </c>
      <c r="T968" s="32" t="s">
        <v>31</v>
      </c>
      <c r="U968" s="38">
        <v>5</v>
      </c>
      <c r="V968" s="9"/>
    </row>
    <row r="969" spans="1:22" x14ac:dyDescent="0.35">
      <c r="A969" s="18" t="s">
        <v>1062</v>
      </c>
      <c r="B969" s="7">
        <v>45192</v>
      </c>
      <c r="C969" s="23" t="s">
        <v>83</v>
      </c>
      <c r="D969" s="23" t="s">
        <v>65</v>
      </c>
      <c r="E969" s="23" t="s">
        <v>48</v>
      </c>
      <c r="F969" s="28">
        <v>2023</v>
      </c>
      <c r="G969" s="23" t="s">
        <v>43</v>
      </c>
      <c r="H969" s="23" t="s">
        <v>59</v>
      </c>
      <c r="I969" s="23" t="s">
        <v>50</v>
      </c>
      <c r="J969" s="46">
        <v>22000</v>
      </c>
      <c r="K969" s="4">
        <v>4</v>
      </c>
      <c r="L969" s="5">
        <v>0</v>
      </c>
      <c r="M969" s="46">
        <v>88000</v>
      </c>
      <c r="N969" s="46">
        <v>54338</v>
      </c>
      <c r="O969" s="46">
        <v>33662</v>
      </c>
      <c r="P969" s="6">
        <v>38.25</v>
      </c>
      <c r="Q969" s="33" t="s">
        <v>51</v>
      </c>
      <c r="R969" s="33" t="s">
        <v>29</v>
      </c>
      <c r="S969" s="33" t="s">
        <v>57</v>
      </c>
      <c r="T969" s="33" t="s">
        <v>41</v>
      </c>
      <c r="U969" s="39">
        <v>3</v>
      </c>
      <c r="V969" s="9"/>
    </row>
    <row r="970" spans="1:22" x14ac:dyDescent="0.35">
      <c r="A970" s="17" t="s">
        <v>1063</v>
      </c>
      <c r="B970" s="8">
        <v>45595</v>
      </c>
      <c r="C970" s="22" t="s">
        <v>70</v>
      </c>
      <c r="D970" s="22" t="s">
        <v>47</v>
      </c>
      <c r="E970" s="22" t="s">
        <v>48</v>
      </c>
      <c r="F970" s="27">
        <v>2024</v>
      </c>
      <c r="G970" s="22" t="s">
        <v>25</v>
      </c>
      <c r="H970" s="22" t="s">
        <v>26</v>
      </c>
      <c r="I970" s="22" t="s">
        <v>27</v>
      </c>
      <c r="J970" s="45">
        <v>5000</v>
      </c>
      <c r="K970" s="1">
        <v>7</v>
      </c>
      <c r="L970" s="2">
        <v>15</v>
      </c>
      <c r="M970" s="45">
        <v>29750</v>
      </c>
      <c r="N970" s="45">
        <v>21056</v>
      </c>
      <c r="O970" s="45">
        <v>8694</v>
      </c>
      <c r="P970" s="3">
        <v>29.22</v>
      </c>
      <c r="Q970" s="32" t="s">
        <v>39</v>
      </c>
      <c r="R970" s="32" t="s">
        <v>45</v>
      </c>
      <c r="S970" s="32" t="s">
        <v>68</v>
      </c>
      <c r="T970" s="32" t="s">
        <v>31</v>
      </c>
      <c r="U970" s="38">
        <v>5</v>
      </c>
      <c r="V970" s="9"/>
    </row>
    <row r="971" spans="1:22" x14ac:dyDescent="0.35">
      <c r="A971" s="18" t="s">
        <v>1064</v>
      </c>
      <c r="B971" s="7">
        <v>45186</v>
      </c>
      <c r="C971" s="23" t="s">
        <v>83</v>
      </c>
      <c r="D971" s="23" t="s">
        <v>23</v>
      </c>
      <c r="E971" s="23" t="s">
        <v>24</v>
      </c>
      <c r="F971" s="28">
        <v>2023</v>
      </c>
      <c r="G971" s="23" t="s">
        <v>36</v>
      </c>
      <c r="H971" s="23" t="s">
        <v>88</v>
      </c>
      <c r="I971" s="23" t="s">
        <v>55</v>
      </c>
      <c r="J971" s="46">
        <v>8000</v>
      </c>
      <c r="K971" s="4">
        <v>8</v>
      </c>
      <c r="L971" s="5">
        <v>10</v>
      </c>
      <c r="M971" s="46">
        <v>57600</v>
      </c>
      <c r="N971" s="46">
        <v>35925</v>
      </c>
      <c r="O971" s="46">
        <v>21675</v>
      </c>
      <c r="P971" s="6">
        <v>37.630000000000003</v>
      </c>
      <c r="Q971" s="33" t="s">
        <v>28</v>
      </c>
      <c r="R971" s="33" t="s">
        <v>56</v>
      </c>
      <c r="S971" s="33" t="s">
        <v>30</v>
      </c>
      <c r="T971" s="33" t="s">
        <v>31</v>
      </c>
      <c r="U971" s="39">
        <v>1</v>
      </c>
      <c r="V971" s="9"/>
    </row>
    <row r="972" spans="1:22" x14ac:dyDescent="0.35">
      <c r="A972" s="17" t="s">
        <v>1065</v>
      </c>
      <c r="B972" s="8">
        <v>45621</v>
      </c>
      <c r="C972" s="22" t="s">
        <v>90</v>
      </c>
      <c r="D972" s="22" t="s">
        <v>74</v>
      </c>
      <c r="E972" s="22" t="s">
        <v>48</v>
      </c>
      <c r="F972" s="27">
        <v>2023</v>
      </c>
      <c r="G972" s="22" t="s">
        <v>25</v>
      </c>
      <c r="H972" s="22" t="s">
        <v>54</v>
      </c>
      <c r="I972" s="22" t="s">
        <v>55</v>
      </c>
      <c r="J972" s="45">
        <v>18000</v>
      </c>
      <c r="K972" s="1">
        <v>4</v>
      </c>
      <c r="L972" s="2">
        <v>0</v>
      </c>
      <c r="M972" s="45">
        <v>72000</v>
      </c>
      <c r="N972" s="45">
        <v>46113</v>
      </c>
      <c r="O972" s="45">
        <v>25887</v>
      </c>
      <c r="P972" s="3">
        <v>35.950000000000003</v>
      </c>
      <c r="Q972" s="32" t="s">
        <v>81</v>
      </c>
      <c r="R972" s="32" t="s">
        <v>56</v>
      </c>
      <c r="S972" s="32" t="s">
        <v>85</v>
      </c>
      <c r="T972" s="32" t="s">
        <v>41</v>
      </c>
      <c r="U972" s="38">
        <v>4</v>
      </c>
      <c r="V972" s="9"/>
    </row>
    <row r="973" spans="1:22" x14ac:dyDescent="0.35">
      <c r="A973" s="18" t="s">
        <v>1066</v>
      </c>
      <c r="B973" s="7">
        <v>45421</v>
      </c>
      <c r="C973" s="23" t="s">
        <v>78</v>
      </c>
      <c r="D973" s="23" t="s">
        <v>34</v>
      </c>
      <c r="E973" s="23" t="s">
        <v>35</v>
      </c>
      <c r="F973" s="28">
        <v>2023</v>
      </c>
      <c r="G973" s="23" t="s">
        <v>61</v>
      </c>
      <c r="H973" s="23" t="s">
        <v>123</v>
      </c>
      <c r="I973" s="23" t="s">
        <v>38</v>
      </c>
      <c r="J973" s="46">
        <v>14000</v>
      </c>
      <c r="K973" s="4">
        <v>8</v>
      </c>
      <c r="L973" s="5">
        <v>0</v>
      </c>
      <c r="M973" s="46">
        <v>112000</v>
      </c>
      <c r="N973" s="46">
        <v>64856</v>
      </c>
      <c r="O973" s="46">
        <v>47144</v>
      </c>
      <c r="P973" s="6">
        <v>42.09</v>
      </c>
      <c r="Q973" s="33" t="s">
        <v>39</v>
      </c>
      <c r="R973" s="33" t="s">
        <v>45</v>
      </c>
      <c r="S973" s="33" t="s">
        <v>57</v>
      </c>
      <c r="T973" s="33" t="s">
        <v>31</v>
      </c>
      <c r="U973" s="39">
        <v>1</v>
      </c>
      <c r="V973" s="9"/>
    </row>
    <row r="974" spans="1:22" x14ac:dyDescent="0.35">
      <c r="A974" s="17" t="s">
        <v>1067</v>
      </c>
      <c r="B974" s="8">
        <v>45174</v>
      </c>
      <c r="C974" s="22" t="s">
        <v>70</v>
      </c>
      <c r="D974" s="22" t="s">
        <v>71</v>
      </c>
      <c r="E974" s="22" t="s">
        <v>72</v>
      </c>
      <c r="F974" s="27">
        <v>2023</v>
      </c>
      <c r="G974" s="22" t="s">
        <v>43</v>
      </c>
      <c r="H974" s="22" t="s">
        <v>88</v>
      </c>
      <c r="I974" s="22" t="s">
        <v>55</v>
      </c>
      <c r="J974" s="45">
        <v>8000</v>
      </c>
      <c r="K974" s="1">
        <v>8</v>
      </c>
      <c r="L974" s="2">
        <v>15</v>
      </c>
      <c r="M974" s="45">
        <v>54400</v>
      </c>
      <c r="N974" s="45">
        <v>32744</v>
      </c>
      <c r="O974" s="45">
        <v>21656</v>
      </c>
      <c r="P974" s="3">
        <v>39.81</v>
      </c>
      <c r="Q974" s="32" t="s">
        <v>39</v>
      </c>
      <c r="R974" s="32" t="s">
        <v>56</v>
      </c>
      <c r="S974" s="32" t="s">
        <v>57</v>
      </c>
      <c r="T974" s="32" t="s">
        <v>31</v>
      </c>
      <c r="U974" s="38">
        <v>2</v>
      </c>
      <c r="V974" s="9"/>
    </row>
    <row r="975" spans="1:22" x14ac:dyDescent="0.35">
      <c r="A975" s="18" t="s">
        <v>1068</v>
      </c>
      <c r="B975" s="7">
        <v>45342</v>
      </c>
      <c r="C975" s="23" t="s">
        <v>33</v>
      </c>
      <c r="D975" s="23" t="s">
        <v>97</v>
      </c>
      <c r="E975" s="23" t="s">
        <v>24</v>
      </c>
      <c r="F975" s="28">
        <v>2023</v>
      </c>
      <c r="G975" s="23" t="s">
        <v>61</v>
      </c>
      <c r="H975" s="23" t="s">
        <v>131</v>
      </c>
      <c r="I975" s="23" t="s">
        <v>63</v>
      </c>
      <c r="J975" s="46">
        <v>10000</v>
      </c>
      <c r="K975" s="4">
        <v>1</v>
      </c>
      <c r="L975" s="5">
        <v>15</v>
      </c>
      <c r="M975" s="46">
        <v>8500</v>
      </c>
      <c r="N975" s="46">
        <v>5361</v>
      </c>
      <c r="O975" s="46">
        <v>3139</v>
      </c>
      <c r="P975" s="6">
        <v>36.93</v>
      </c>
      <c r="Q975" s="33" t="s">
        <v>81</v>
      </c>
      <c r="R975" s="33" t="s">
        <v>76</v>
      </c>
      <c r="S975" s="33" t="s">
        <v>68</v>
      </c>
      <c r="T975" s="33" t="s">
        <v>31</v>
      </c>
      <c r="U975" s="39">
        <v>2</v>
      </c>
      <c r="V975" s="9"/>
    </row>
    <row r="976" spans="1:22" x14ac:dyDescent="0.35">
      <c r="A976" s="17" t="s">
        <v>1069</v>
      </c>
      <c r="B976" s="8">
        <v>45235</v>
      </c>
      <c r="C976" s="22" t="s">
        <v>83</v>
      </c>
      <c r="D976" s="22" t="s">
        <v>110</v>
      </c>
      <c r="E976" s="22" t="s">
        <v>24</v>
      </c>
      <c r="F976" s="27">
        <v>2024</v>
      </c>
      <c r="G976" s="22" t="s">
        <v>43</v>
      </c>
      <c r="H976" s="22" t="s">
        <v>101</v>
      </c>
      <c r="I976" s="22" t="s">
        <v>27</v>
      </c>
      <c r="J976" s="45">
        <v>9000</v>
      </c>
      <c r="K976" s="1">
        <v>6</v>
      </c>
      <c r="L976" s="2">
        <v>5</v>
      </c>
      <c r="M976" s="45">
        <v>51300</v>
      </c>
      <c r="N976" s="45">
        <v>33301</v>
      </c>
      <c r="O976" s="45">
        <v>17999</v>
      </c>
      <c r="P976" s="3">
        <v>35.090000000000003</v>
      </c>
      <c r="Q976" s="32" t="s">
        <v>51</v>
      </c>
      <c r="R976" s="32" t="s">
        <v>56</v>
      </c>
      <c r="S976" s="32" t="s">
        <v>40</v>
      </c>
      <c r="T976" s="32" t="s">
        <v>31</v>
      </c>
      <c r="U976" s="38">
        <v>1</v>
      </c>
      <c r="V976" s="9"/>
    </row>
    <row r="977" spans="1:22" x14ac:dyDescent="0.35">
      <c r="A977" s="18" t="s">
        <v>1070</v>
      </c>
      <c r="B977" s="7">
        <v>45155</v>
      </c>
      <c r="C977" s="23" t="s">
        <v>53</v>
      </c>
      <c r="D977" s="23" t="s">
        <v>108</v>
      </c>
      <c r="E977" s="23" t="s">
        <v>72</v>
      </c>
      <c r="F977" s="28">
        <v>2024</v>
      </c>
      <c r="G977" s="23" t="s">
        <v>61</v>
      </c>
      <c r="H977" s="23" t="s">
        <v>104</v>
      </c>
      <c r="I977" s="23" t="s">
        <v>50</v>
      </c>
      <c r="J977" s="46">
        <v>15000</v>
      </c>
      <c r="K977" s="4">
        <v>9</v>
      </c>
      <c r="L977" s="5">
        <v>10</v>
      </c>
      <c r="M977" s="46">
        <v>121500</v>
      </c>
      <c r="N977" s="46">
        <v>70281</v>
      </c>
      <c r="O977" s="46">
        <v>51219</v>
      </c>
      <c r="P977" s="6">
        <v>42.16</v>
      </c>
      <c r="Q977" s="33" t="s">
        <v>39</v>
      </c>
      <c r="R977" s="33" t="s">
        <v>76</v>
      </c>
      <c r="S977" s="33" t="s">
        <v>30</v>
      </c>
      <c r="T977" s="33" t="s">
        <v>41</v>
      </c>
      <c r="U977" s="39">
        <v>4</v>
      </c>
      <c r="V977" s="9"/>
    </row>
    <row r="978" spans="1:22" x14ac:dyDescent="0.35">
      <c r="A978" s="17" t="s">
        <v>1071</v>
      </c>
      <c r="B978" s="8">
        <v>45409</v>
      </c>
      <c r="C978" s="22" t="s">
        <v>78</v>
      </c>
      <c r="D978" s="22" t="s">
        <v>116</v>
      </c>
      <c r="E978" s="22" t="s">
        <v>35</v>
      </c>
      <c r="F978" s="27">
        <v>2024</v>
      </c>
      <c r="G978" s="22" t="s">
        <v>61</v>
      </c>
      <c r="H978" s="22" t="s">
        <v>49</v>
      </c>
      <c r="I978" s="22" t="s">
        <v>50</v>
      </c>
      <c r="J978" s="45">
        <v>18000</v>
      </c>
      <c r="K978" s="1">
        <v>5</v>
      </c>
      <c r="L978" s="2">
        <v>15</v>
      </c>
      <c r="M978" s="45">
        <v>76500</v>
      </c>
      <c r="N978" s="45">
        <v>48402</v>
      </c>
      <c r="O978" s="45">
        <v>28098</v>
      </c>
      <c r="P978" s="3">
        <v>36.729999999999997</v>
      </c>
      <c r="Q978" s="32" t="s">
        <v>81</v>
      </c>
      <c r="R978" s="32" t="s">
        <v>67</v>
      </c>
      <c r="S978" s="32" t="s">
        <v>30</v>
      </c>
      <c r="T978" s="32" t="s">
        <v>41</v>
      </c>
      <c r="U978" s="38">
        <v>3</v>
      </c>
      <c r="V978" s="9"/>
    </row>
    <row r="979" spans="1:22" x14ac:dyDescent="0.35">
      <c r="A979" s="18" t="s">
        <v>1072</v>
      </c>
      <c r="B979" s="7">
        <v>44983</v>
      </c>
      <c r="C979" s="23" t="s">
        <v>78</v>
      </c>
      <c r="D979" s="23" t="s">
        <v>87</v>
      </c>
      <c r="E979" s="23" t="s">
        <v>35</v>
      </c>
      <c r="F979" s="28">
        <v>2024</v>
      </c>
      <c r="G979" s="23" t="s">
        <v>36</v>
      </c>
      <c r="H979" s="23" t="s">
        <v>126</v>
      </c>
      <c r="I979" s="23" t="s">
        <v>55</v>
      </c>
      <c r="J979" s="46">
        <v>12000</v>
      </c>
      <c r="K979" s="4">
        <v>2</v>
      </c>
      <c r="L979" s="5">
        <v>0</v>
      </c>
      <c r="M979" s="46">
        <v>24000</v>
      </c>
      <c r="N979" s="46">
        <v>15998</v>
      </c>
      <c r="O979" s="46">
        <v>8002</v>
      </c>
      <c r="P979" s="6">
        <v>33.340000000000003</v>
      </c>
      <c r="Q979" s="33" t="s">
        <v>28</v>
      </c>
      <c r="R979" s="33" t="s">
        <v>56</v>
      </c>
      <c r="S979" s="33" t="s">
        <v>40</v>
      </c>
      <c r="T979" s="33" t="s">
        <v>31</v>
      </c>
      <c r="U979" s="39">
        <v>3</v>
      </c>
      <c r="V979" s="9"/>
    </row>
    <row r="980" spans="1:22" x14ac:dyDescent="0.35">
      <c r="A980" s="17" t="s">
        <v>1073</v>
      </c>
      <c r="B980" s="8">
        <v>45427</v>
      </c>
      <c r="C980" s="22" t="s">
        <v>78</v>
      </c>
      <c r="D980" s="22" t="s">
        <v>116</v>
      </c>
      <c r="E980" s="22" t="s">
        <v>35</v>
      </c>
      <c r="F980" s="27">
        <v>2024</v>
      </c>
      <c r="G980" s="22" t="s">
        <v>43</v>
      </c>
      <c r="H980" s="22" t="s">
        <v>44</v>
      </c>
      <c r="I980" s="22" t="s">
        <v>27</v>
      </c>
      <c r="J980" s="45">
        <v>6000</v>
      </c>
      <c r="K980" s="1">
        <v>10</v>
      </c>
      <c r="L980" s="2">
        <v>15</v>
      </c>
      <c r="M980" s="45">
        <v>51000</v>
      </c>
      <c r="N980" s="45">
        <v>34083</v>
      </c>
      <c r="O980" s="45">
        <v>16917</v>
      </c>
      <c r="P980" s="3">
        <v>33.17</v>
      </c>
      <c r="Q980" s="32" t="s">
        <v>51</v>
      </c>
      <c r="R980" s="32" t="s">
        <v>45</v>
      </c>
      <c r="S980" s="32" t="s">
        <v>68</v>
      </c>
      <c r="T980" s="32" t="s">
        <v>31</v>
      </c>
      <c r="U980" s="38">
        <v>4</v>
      </c>
      <c r="V980" s="9"/>
    </row>
    <row r="981" spans="1:22" x14ac:dyDescent="0.35">
      <c r="A981" s="18" t="s">
        <v>1074</v>
      </c>
      <c r="B981" s="7">
        <v>45018</v>
      </c>
      <c r="C981" s="23" t="s">
        <v>22</v>
      </c>
      <c r="D981" s="23" t="s">
        <v>23</v>
      </c>
      <c r="E981" s="23" t="s">
        <v>24</v>
      </c>
      <c r="F981" s="28">
        <v>2024</v>
      </c>
      <c r="G981" s="23" t="s">
        <v>61</v>
      </c>
      <c r="H981" s="23" t="s">
        <v>84</v>
      </c>
      <c r="I981" s="23" t="s">
        <v>27</v>
      </c>
      <c r="J981" s="46">
        <v>8000</v>
      </c>
      <c r="K981" s="4">
        <v>9</v>
      </c>
      <c r="L981" s="5">
        <v>5</v>
      </c>
      <c r="M981" s="46">
        <v>68400</v>
      </c>
      <c r="N981" s="46">
        <v>49101</v>
      </c>
      <c r="O981" s="46">
        <v>19299</v>
      </c>
      <c r="P981" s="6">
        <v>28.21</v>
      </c>
      <c r="Q981" s="33" t="s">
        <v>75</v>
      </c>
      <c r="R981" s="33" t="s">
        <v>56</v>
      </c>
      <c r="S981" s="33" t="s">
        <v>57</v>
      </c>
      <c r="T981" s="33" t="s">
        <v>41</v>
      </c>
      <c r="U981" s="39">
        <v>4</v>
      </c>
      <c r="V981" s="9"/>
    </row>
    <row r="982" spans="1:22" x14ac:dyDescent="0.35">
      <c r="A982" s="17" t="s">
        <v>1075</v>
      </c>
      <c r="B982" s="8">
        <v>45132</v>
      </c>
      <c r="C982" s="22" t="s">
        <v>90</v>
      </c>
      <c r="D982" s="22" t="s">
        <v>108</v>
      </c>
      <c r="E982" s="22" t="s">
        <v>72</v>
      </c>
      <c r="F982" s="27">
        <v>2024</v>
      </c>
      <c r="G982" s="22" t="s">
        <v>43</v>
      </c>
      <c r="H982" s="22" t="s">
        <v>62</v>
      </c>
      <c r="I982" s="22" t="s">
        <v>63</v>
      </c>
      <c r="J982" s="45">
        <v>5000</v>
      </c>
      <c r="K982" s="1">
        <v>5</v>
      </c>
      <c r="L982" s="2">
        <v>0</v>
      </c>
      <c r="M982" s="45">
        <v>25000</v>
      </c>
      <c r="N982" s="45">
        <v>13925</v>
      </c>
      <c r="O982" s="45">
        <v>11075</v>
      </c>
      <c r="P982" s="3">
        <v>44.3</v>
      </c>
      <c r="Q982" s="32" t="s">
        <v>75</v>
      </c>
      <c r="R982" s="32" t="s">
        <v>45</v>
      </c>
      <c r="S982" s="32" t="s">
        <v>85</v>
      </c>
      <c r="T982" s="32" t="s">
        <v>41</v>
      </c>
      <c r="U982" s="38">
        <v>4</v>
      </c>
      <c r="V982" s="9"/>
    </row>
    <row r="983" spans="1:22" x14ac:dyDescent="0.35">
      <c r="A983" s="18" t="s">
        <v>1076</v>
      </c>
      <c r="B983" s="7">
        <v>45247</v>
      </c>
      <c r="C983" s="23" t="s">
        <v>53</v>
      </c>
      <c r="D983" s="23" t="s">
        <v>108</v>
      </c>
      <c r="E983" s="23" t="s">
        <v>72</v>
      </c>
      <c r="F983" s="28">
        <v>2024</v>
      </c>
      <c r="G983" s="23" t="s">
        <v>61</v>
      </c>
      <c r="H983" s="23" t="s">
        <v>145</v>
      </c>
      <c r="I983" s="23" t="s">
        <v>50</v>
      </c>
      <c r="J983" s="46">
        <v>12000</v>
      </c>
      <c r="K983" s="4">
        <v>2</v>
      </c>
      <c r="L983" s="5">
        <v>0</v>
      </c>
      <c r="M983" s="46">
        <v>24000</v>
      </c>
      <c r="N983" s="46">
        <v>15236</v>
      </c>
      <c r="O983" s="46">
        <v>8764</v>
      </c>
      <c r="P983" s="6">
        <v>36.520000000000003</v>
      </c>
      <c r="Q983" s="33" t="s">
        <v>39</v>
      </c>
      <c r="R983" s="33" t="s">
        <v>67</v>
      </c>
      <c r="S983" s="33" t="s">
        <v>68</v>
      </c>
      <c r="T983" s="33" t="s">
        <v>31</v>
      </c>
      <c r="U983" s="39">
        <v>3</v>
      </c>
      <c r="V983" s="9"/>
    </row>
    <row r="984" spans="1:22" x14ac:dyDescent="0.35">
      <c r="A984" s="17" t="s">
        <v>1077</v>
      </c>
      <c r="B984" s="8">
        <v>45460</v>
      </c>
      <c r="C984" s="22" t="s">
        <v>90</v>
      </c>
      <c r="D984" s="22" t="s">
        <v>116</v>
      </c>
      <c r="E984" s="22" t="s">
        <v>35</v>
      </c>
      <c r="F984" s="27">
        <v>2024</v>
      </c>
      <c r="G984" s="22" t="s">
        <v>43</v>
      </c>
      <c r="H984" s="22" t="s">
        <v>117</v>
      </c>
      <c r="I984" s="22" t="s">
        <v>50</v>
      </c>
      <c r="J984" s="45">
        <v>8000</v>
      </c>
      <c r="K984" s="1">
        <v>5</v>
      </c>
      <c r="L984" s="2">
        <v>0</v>
      </c>
      <c r="M984" s="45">
        <v>40000</v>
      </c>
      <c r="N984" s="45">
        <v>25086</v>
      </c>
      <c r="O984" s="45">
        <v>14914</v>
      </c>
      <c r="P984" s="3">
        <v>37.29</v>
      </c>
      <c r="Q984" s="32" t="s">
        <v>39</v>
      </c>
      <c r="R984" s="32" t="s">
        <v>45</v>
      </c>
      <c r="S984" s="32" t="s">
        <v>85</v>
      </c>
      <c r="T984" s="32" t="s">
        <v>31</v>
      </c>
      <c r="U984" s="38">
        <v>4</v>
      </c>
      <c r="V984" s="9"/>
    </row>
    <row r="985" spans="1:22" x14ac:dyDescent="0.35">
      <c r="A985" s="18" t="s">
        <v>1078</v>
      </c>
      <c r="B985" s="7">
        <v>45341</v>
      </c>
      <c r="C985" s="23" t="s">
        <v>78</v>
      </c>
      <c r="D985" s="23" t="s">
        <v>110</v>
      </c>
      <c r="E985" s="23" t="s">
        <v>24</v>
      </c>
      <c r="F985" s="28">
        <v>2023</v>
      </c>
      <c r="G985" s="23" t="s">
        <v>61</v>
      </c>
      <c r="H985" s="23" t="s">
        <v>174</v>
      </c>
      <c r="I985" s="23" t="s">
        <v>27</v>
      </c>
      <c r="J985" s="46">
        <v>12000</v>
      </c>
      <c r="K985" s="4">
        <v>6</v>
      </c>
      <c r="L985" s="5">
        <v>15</v>
      </c>
      <c r="M985" s="46">
        <v>61200</v>
      </c>
      <c r="N985" s="46">
        <v>42338</v>
      </c>
      <c r="O985" s="46">
        <v>18862</v>
      </c>
      <c r="P985" s="6">
        <v>30.82</v>
      </c>
      <c r="Q985" s="33" t="s">
        <v>28</v>
      </c>
      <c r="R985" s="33" t="s">
        <v>45</v>
      </c>
      <c r="S985" s="33" t="s">
        <v>68</v>
      </c>
      <c r="T985" s="33" t="s">
        <v>41</v>
      </c>
      <c r="U985" s="39">
        <v>5</v>
      </c>
      <c r="V985" s="9"/>
    </row>
    <row r="986" spans="1:22" x14ac:dyDescent="0.35">
      <c r="A986" s="17" t="s">
        <v>1079</v>
      </c>
      <c r="B986" s="8">
        <v>45641</v>
      </c>
      <c r="C986" s="22" t="s">
        <v>83</v>
      </c>
      <c r="D986" s="22" t="s">
        <v>110</v>
      </c>
      <c r="E986" s="22" t="s">
        <v>24</v>
      </c>
      <c r="F986" s="27">
        <v>2024</v>
      </c>
      <c r="G986" s="22" t="s">
        <v>43</v>
      </c>
      <c r="H986" s="22" t="s">
        <v>186</v>
      </c>
      <c r="I986" s="22" t="s">
        <v>55</v>
      </c>
      <c r="J986" s="45">
        <v>20000</v>
      </c>
      <c r="K986" s="1">
        <v>2</v>
      </c>
      <c r="L986" s="2">
        <v>15</v>
      </c>
      <c r="M986" s="45">
        <v>34000</v>
      </c>
      <c r="N986" s="45">
        <v>20264</v>
      </c>
      <c r="O986" s="45">
        <v>13736</v>
      </c>
      <c r="P986" s="3">
        <v>40.4</v>
      </c>
      <c r="Q986" s="32" t="s">
        <v>39</v>
      </c>
      <c r="R986" s="32" t="s">
        <v>67</v>
      </c>
      <c r="S986" s="32" t="s">
        <v>85</v>
      </c>
      <c r="T986" s="32" t="s">
        <v>41</v>
      </c>
      <c r="U986" s="38">
        <v>2</v>
      </c>
      <c r="V986" s="9"/>
    </row>
    <row r="987" spans="1:22" x14ac:dyDescent="0.35">
      <c r="A987" s="18" t="s">
        <v>1080</v>
      </c>
      <c r="B987" s="7">
        <v>45656</v>
      </c>
      <c r="C987" s="23" t="s">
        <v>33</v>
      </c>
      <c r="D987" s="23" t="s">
        <v>74</v>
      </c>
      <c r="E987" s="23" t="s">
        <v>48</v>
      </c>
      <c r="F987" s="28">
        <v>2023</v>
      </c>
      <c r="G987" s="23" t="s">
        <v>43</v>
      </c>
      <c r="H987" s="23" t="s">
        <v>62</v>
      </c>
      <c r="I987" s="23" t="s">
        <v>63</v>
      </c>
      <c r="J987" s="46">
        <v>5000</v>
      </c>
      <c r="K987" s="4">
        <v>4</v>
      </c>
      <c r="L987" s="5">
        <v>20</v>
      </c>
      <c r="M987" s="46">
        <v>16000</v>
      </c>
      <c r="N987" s="46">
        <v>10646</v>
      </c>
      <c r="O987" s="46">
        <v>5354</v>
      </c>
      <c r="P987" s="6">
        <v>33.46</v>
      </c>
      <c r="Q987" s="33" t="s">
        <v>51</v>
      </c>
      <c r="R987" s="33" t="s">
        <v>67</v>
      </c>
      <c r="S987" s="33" t="s">
        <v>40</v>
      </c>
      <c r="T987" s="33" t="s">
        <v>41</v>
      </c>
      <c r="U987" s="39">
        <v>3</v>
      </c>
      <c r="V987" s="9"/>
    </row>
    <row r="988" spans="1:22" x14ac:dyDescent="0.35">
      <c r="A988" s="17" t="s">
        <v>1081</v>
      </c>
      <c r="B988" s="8">
        <v>45358</v>
      </c>
      <c r="C988" s="22" t="s">
        <v>83</v>
      </c>
      <c r="D988" s="22" t="s">
        <v>79</v>
      </c>
      <c r="E988" s="22" t="s">
        <v>72</v>
      </c>
      <c r="F988" s="27">
        <v>2024</v>
      </c>
      <c r="G988" s="22" t="s">
        <v>36</v>
      </c>
      <c r="H988" s="22" t="s">
        <v>104</v>
      </c>
      <c r="I988" s="22" t="s">
        <v>50</v>
      </c>
      <c r="J988" s="45">
        <v>15000</v>
      </c>
      <c r="K988" s="1">
        <v>10</v>
      </c>
      <c r="L988" s="2">
        <v>5</v>
      </c>
      <c r="M988" s="45">
        <v>142500</v>
      </c>
      <c r="N988" s="45">
        <v>94822</v>
      </c>
      <c r="O988" s="45">
        <v>47678</v>
      </c>
      <c r="P988" s="3">
        <v>33.46</v>
      </c>
      <c r="Q988" s="32" t="s">
        <v>81</v>
      </c>
      <c r="R988" s="32" t="s">
        <v>29</v>
      </c>
      <c r="S988" s="32" t="s">
        <v>68</v>
      </c>
      <c r="T988" s="32" t="s">
        <v>41</v>
      </c>
      <c r="U988" s="38">
        <v>2</v>
      </c>
      <c r="V988" s="9"/>
    </row>
    <row r="989" spans="1:22" x14ac:dyDescent="0.35">
      <c r="A989" s="18" t="s">
        <v>1082</v>
      </c>
      <c r="B989" s="7">
        <v>45036</v>
      </c>
      <c r="C989" s="23" t="s">
        <v>53</v>
      </c>
      <c r="D989" s="23" t="s">
        <v>65</v>
      </c>
      <c r="E989" s="23" t="s">
        <v>48</v>
      </c>
      <c r="F989" s="28">
        <v>2024</v>
      </c>
      <c r="G989" s="23" t="s">
        <v>36</v>
      </c>
      <c r="H989" s="23" t="s">
        <v>186</v>
      </c>
      <c r="I989" s="23" t="s">
        <v>55</v>
      </c>
      <c r="J989" s="46">
        <v>20000</v>
      </c>
      <c r="K989" s="4">
        <v>5</v>
      </c>
      <c r="L989" s="5">
        <v>0</v>
      </c>
      <c r="M989" s="46">
        <v>100000</v>
      </c>
      <c r="N989" s="46">
        <v>56455</v>
      </c>
      <c r="O989" s="46">
        <v>43545</v>
      </c>
      <c r="P989" s="6">
        <v>43.55</v>
      </c>
      <c r="Q989" s="33" t="s">
        <v>75</v>
      </c>
      <c r="R989" s="33" t="s">
        <v>67</v>
      </c>
      <c r="S989" s="33" t="s">
        <v>85</v>
      </c>
      <c r="T989" s="33" t="s">
        <v>41</v>
      </c>
      <c r="U989" s="39">
        <v>4</v>
      </c>
      <c r="V989" s="9"/>
    </row>
    <row r="990" spans="1:22" x14ac:dyDescent="0.35">
      <c r="A990" s="17" t="s">
        <v>1083</v>
      </c>
      <c r="B990" s="8">
        <v>44968</v>
      </c>
      <c r="C990" s="22" t="s">
        <v>70</v>
      </c>
      <c r="D990" s="22" t="s">
        <v>34</v>
      </c>
      <c r="E990" s="22" t="s">
        <v>35</v>
      </c>
      <c r="F990" s="27">
        <v>2023</v>
      </c>
      <c r="G990" s="22" t="s">
        <v>25</v>
      </c>
      <c r="H990" s="22" t="s">
        <v>66</v>
      </c>
      <c r="I990" s="22" t="s">
        <v>38</v>
      </c>
      <c r="J990" s="45">
        <v>11000</v>
      </c>
      <c r="K990" s="1">
        <v>8</v>
      </c>
      <c r="L990" s="2">
        <v>15</v>
      </c>
      <c r="M990" s="45">
        <v>74800</v>
      </c>
      <c r="N990" s="45">
        <v>45123</v>
      </c>
      <c r="O990" s="45">
        <v>29677</v>
      </c>
      <c r="P990" s="3">
        <v>39.68</v>
      </c>
      <c r="Q990" s="32" t="s">
        <v>81</v>
      </c>
      <c r="R990" s="32" t="s">
        <v>67</v>
      </c>
      <c r="S990" s="32" t="s">
        <v>57</v>
      </c>
      <c r="T990" s="32" t="s">
        <v>41</v>
      </c>
      <c r="U990" s="38">
        <v>4</v>
      </c>
      <c r="V990" s="9"/>
    </row>
    <row r="991" spans="1:22" x14ac:dyDescent="0.35">
      <c r="A991" s="18" t="s">
        <v>1084</v>
      </c>
      <c r="B991" s="7">
        <v>45515</v>
      </c>
      <c r="C991" s="23" t="s">
        <v>70</v>
      </c>
      <c r="D991" s="23" t="s">
        <v>74</v>
      </c>
      <c r="E991" s="23" t="s">
        <v>48</v>
      </c>
      <c r="F991" s="28">
        <v>2024</v>
      </c>
      <c r="G991" s="23" t="s">
        <v>61</v>
      </c>
      <c r="H991" s="23" t="s">
        <v>93</v>
      </c>
      <c r="I991" s="23" t="s">
        <v>63</v>
      </c>
      <c r="J991" s="46">
        <v>14000</v>
      </c>
      <c r="K991" s="4">
        <v>9</v>
      </c>
      <c r="L991" s="5">
        <v>0</v>
      </c>
      <c r="M991" s="46">
        <v>126000</v>
      </c>
      <c r="N991" s="46">
        <v>89809</v>
      </c>
      <c r="O991" s="46">
        <v>36191</v>
      </c>
      <c r="P991" s="6">
        <v>28.72</v>
      </c>
      <c r="Q991" s="33" t="s">
        <v>51</v>
      </c>
      <c r="R991" s="33" t="s">
        <v>76</v>
      </c>
      <c r="S991" s="33" t="s">
        <v>68</v>
      </c>
      <c r="T991" s="33" t="s">
        <v>31</v>
      </c>
      <c r="U991" s="39">
        <v>5</v>
      </c>
      <c r="V991" s="9"/>
    </row>
    <row r="992" spans="1:22" x14ac:dyDescent="0.35">
      <c r="A992" s="17" t="s">
        <v>1085</v>
      </c>
      <c r="B992" s="8">
        <v>45403</v>
      </c>
      <c r="C992" s="22" t="s">
        <v>53</v>
      </c>
      <c r="D992" s="22" t="s">
        <v>87</v>
      </c>
      <c r="E992" s="22" t="s">
        <v>35</v>
      </c>
      <c r="F992" s="27">
        <v>2024</v>
      </c>
      <c r="G992" s="22" t="s">
        <v>36</v>
      </c>
      <c r="H992" s="22" t="s">
        <v>104</v>
      </c>
      <c r="I992" s="22" t="s">
        <v>50</v>
      </c>
      <c r="J992" s="45">
        <v>15000</v>
      </c>
      <c r="K992" s="1">
        <v>10</v>
      </c>
      <c r="L992" s="2">
        <v>10</v>
      </c>
      <c r="M992" s="45">
        <v>135000</v>
      </c>
      <c r="N992" s="45">
        <v>94903</v>
      </c>
      <c r="O992" s="45">
        <v>40097</v>
      </c>
      <c r="P992" s="3">
        <v>29.7</v>
      </c>
      <c r="Q992" s="32" t="s">
        <v>81</v>
      </c>
      <c r="R992" s="32" t="s">
        <v>76</v>
      </c>
      <c r="S992" s="32" t="s">
        <v>40</v>
      </c>
      <c r="T992" s="32" t="s">
        <v>41</v>
      </c>
      <c r="U992" s="38">
        <v>1</v>
      </c>
      <c r="V992" s="9"/>
    </row>
    <row r="993" spans="1:22" x14ac:dyDescent="0.35">
      <c r="A993" s="18" t="s">
        <v>1086</v>
      </c>
      <c r="B993" s="7">
        <v>44974</v>
      </c>
      <c r="C993" s="23" t="s">
        <v>33</v>
      </c>
      <c r="D993" s="23" t="s">
        <v>34</v>
      </c>
      <c r="E993" s="23" t="s">
        <v>35</v>
      </c>
      <c r="F993" s="28">
        <v>2024</v>
      </c>
      <c r="G993" s="23" t="s">
        <v>43</v>
      </c>
      <c r="H993" s="23" t="s">
        <v>126</v>
      </c>
      <c r="I993" s="23" t="s">
        <v>55</v>
      </c>
      <c r="J993" s="46">
        <v>12000</v>
      </c>
      <c r="K993" s="4">
        <v>1</v>
      </c>
      <c r="L993" s="5">
        <v>0</v>
      </c>
      <c r="M993" s="46">
        <v>12000</v>
      </c>
      <c r="N993" s="46">
        <v>6712</v>
      </c>
      <c r="O993" s="46">
        <v>5288</v>
      </c>
      <c r="P993" s="6">
        <v>44.07</v>
      </c>
      <c r="Q993" s="33" t="s">
        <v>28</v>
      </c>
      <c r="R993" s="33" t="s">
        <v>45</v>
      </c>
      <c r="S993" s="33" t="s">
        <v>85</v>
      </c>
      <c r="T993" s="33" t="s">
        <v>41</v>
      </c>
      <c r="U993" s="39">
        <v>5</v>
      </c>
      <c r="V993" s="9"/>
    </row>
    <row r="994" spans="1:22" x14ac:dyDescent="0.35">
      <c r="A994" s="17" t="s">
        <v>1087</v>
      </c>
      <c r="B994" s="8">
        <v>45115</v>
      </c>
      <c r="C994" s="22" t="s">
        <v>22</v>
      </c>
      <c r="D994" s="22" t="s">
        <v>116</v>
      </c>
      <c r="E994" s="22" t="s">
        <v>35</v>
      </c>
      <c r="F994" s="27">
        <v>2024</v>
      </c>
      <c r="G994" s="22" t="s">
        <v>36</v>
      </c>
      <c r="H994" s="22" t="s">
        <v>117</v>
      </c>
      <c r="I994" s="22" t="s">
        <v>50</v>
      </c>
      <c r="J994" s="45">
        <v>8000</v>
      </c>
      <c r="K994" s="1">
        <v>2</v>
      </c>
      <c r="L994" s="2">
        <v>15</v>
      </c>
      <c r="M994" s="45">
        <v>13600</v>
      </c>
      <c r="N994" s="45">
        <v>8832</v>
      </c>
      <c r="O994" s="45">
        <v>4768</v>
      </c>
      <c r="P994" s="3">
        <v>35.06</v>
      </c>
      <c r="Q994" s="32" t="s">
        <v>75</v>
      </c>
      <c r="R994" s="32" t="s">
        <v>76</v>
      </c>
      <c r="S994" s="32" t="s">
        <v>68</v>
      </c>
      <c r="T994" s="32" t="s">
        <v>41</v>
      </c>
      <c r="U994" s="38">
        <v>2</v>
      </c>
      <c r="V994" s="9"/>
    </row>
    <row r="995" spans="1:22" x14ac:dyDescent="0.35">
      <c r="A995" s="18" t="s">
        <v>1088</v>
      </c>
      <c r="B995" s="7">
        <v>45640</v>
      </c>
      <c r="C995" s="23" t="s">
        <v>33</v>
      </c>
      <c r="D995" s="23" t="s">
        <v>108</v>
      </c>
      <c r="E995" s="23" t="s">
        <v>72</v>
      </c>
      <c r="F995" s="28">
        <v>2023</v>
      </c>
      <c r="G995" s="23" t="s">
        <v>36</v>
      </c>
      <c r="H995" s="23" t="s">
        <v>123</v>
      </c>
      <c r="I995" s="23" t="s">
        <v>38</v>
      </c>
      <c r="J995" s="46">
        <v>14000</v>
      </c>
      <c r="K995" s="4">
        <v>5</v>
      </c>
      <c r="L995" s="5">
        <v>15</v>
      </c>
      <c r="M995" s="46">
        <v>59500</v>
      </c>
      <c r="N995" s="46">
        <v>42730</v>
      </c>
      <c r="O995" s="46">
        <v>16770</v>
      </c>
      <c r="P995" s="6">
        <v>28.18</v>
      </c>
      <c r="Q995" s="33" t="s">
        <v>28</v>
      </c>
      <c r="R995" s="33" t="s">
        <v>67</v>
      </c>
      <c r="S995" s="33" t="s">
        <v>85</v>
      </c>
      <c r="T995" s="33" t="s">
        <v>31</v>
      </c>
      <c r="U995" s="39">
        <v>1</v>
      </c>
      <c r="V995" s="9"/>
    </row>
    <row r="996" spans="1:22" x14ac:dyDescent="0.35">
      <c r="A996" s="17" t="s">
        <v>1089</v>
      </c>
      <c r="B996" s="8">
        <v>45554</v>
      </c>
      <c r="C996" s="22" t="s">
        <v>70</v>
      </c>
      <c r="D996" s="22" t="s">
        <v>47</v>
      </c>
      <c r="E996" s="22" t="s">
        <v>48</v>
      </c>
      <c r="F996" s="27">
        <v>2023</v>
      </c>
      <c r="G996" s="22" t="s">
        <v>43</v>
      </c>
      <c r="H996" s="22" t="s">
        <v>66</v>
      </c>
      <c r="I996" s="22" t="s">
        <v>38</v>
      </c>
      <c r="J996" s="45">
        <v>11000</v>
      </c>
      <c r="K996" s="1">
        <v>2</v>
      </c>
      <c r="L996" s="2">
        <v>10</v>
      </c>
      <c r="M996" s="45">
        <v>19800</v>
      </c>
      <c r="N996" s="45">
        <v>11216</v>
      </c>
      <c r="O996" s="45">
        <v>8584</v>
      </c>
      <c r="P996" s="3">
        <v>43.35</v>
      </c>
      <c r="Q996" s="32" t="s">
        <v>39</v>
      </c>
      <c r="R996" s="32" t="s">
        <v>76</v>
      </c>
      <c r="S996" s="32" t="s">
        <v>40</v>
      </c>
      <c r="T996" s="32" t="s">
        <v>41</v>
      </c>
      <c r="U996" s="38">
        <v>4</v>
      </c>
      <c r="V996" s="9"/>
    </row>
    <row r="997" spans="1:22" x14ac:dyDescent="0.35">
      <c r="A997" s="18" t="s">
        <v>1090</v>
      </c>
      <c r="B997" s="7">
        <v>44940</v>
      </c>
      <c r="C997" s="23" t="s">
        <v>70</v>
      </c>
      <c r="D997" s="23" t="s">
        <v>74</v>
      </c>
      <c r="E997" s="23" t="s">
        <v>48</v>
      </c>
      <c r="F997" s="28">
        <v>2023</v>
      </c>
      <c r="G997" s="23" t="s">
        <v>25</v>
      </c>
      <c r="H997" s="23" t="s">
        <v>84</v>
      </c>
      <c r="I997" s="23" t="s">
        <v>27</v>
      </c>
      <c r="J997" s="46">
        <v>8000</v>
      </c>
      <c r="K997" s="4">
        <v>7</v>
      </c>
      <c r="L997" s="5">
        <v>5</v>
      </c>
      <c r="M997" s="46">
        <v>53200</v>
      </c>
      <c r="N997" s="46">
        <v>38148</v>
      </c>
      <c r="O997" s="46">
        <v>15052</v>
      </c>
      <c r="P997" s="6">
        <v>28.29</v>
      </c>
      <c r="Q997" s="33" t="s">
        <v>39</v>
      </c>
      <c r="R997" s="33" t="s">
        <v>29</v>
      </c>
      <c r="S997" s="33" t="s">
        <v>57</v>
      </c>
      <c r="T997" s="33" t="s">
        <v>31</v>
      </c>
      <c r="U997" s="39">
        <v>4</v>
      </c>
      <c r="V997" s="9"/>
    </row>
    <row r="998" spans="1:22" x14ac:dyDescent="0.35">
      <c r="A998" s="17" t="s">
        <v>1091</v>
      </c>
      <c r="B998" s="8">
        <v>45421</v>
      </c>
      <c r="C998" s="22" t="s">
        <v>83</v>
      </c>
      <c r="D998" s="22" t="s">
        <v>116</v>
      </c>
      <c r="E998" s="22" t="s">
        <v>35</v>
      </c>
      <c r="F998" s="27">
        <v>2023</v>
      </c>
      <c r="G998" s="22" t="s">
        <v>36</v>
      </c>
      <c r="H998" s="22" t="s">
        <v>44</v>
      </c>
      <c r="I998" s="22" t="s">
        <v>27</v>
      </c>
      <c r="J998" s="45">
        <v>6000</v>
      </c>
      <c r="K998" s="1">
        <v>3</v>
      </c>
      <c r="L998" s="2">
        <v>20</v>
      </c>
      <c r="M998" s="45">
        <v>14400</v>
      </c>
      <c r="N998" s="45">
        <v>9743</v>
      </c>
      <c r="O998" s="45">
        <v>4657</v>
      </c>
      <c r="P998" s="3">
        <v>32.340000000000003</v>
      </c>
      <c r="Q998" s="32" t="s">
        <v>39</v>
      </c>
      <c r="R998" s="32" t="s">
        <v>56</v>
      </c>
      <c r="S998" s="32" t="s">
        <v>85</v>
      </c>
      <c r="T998" s="32" t="s">
        <v>41</v>
      </c>
      <c r="U998" s="38">
        <v>4</v>
      </c>
      <c r="V998" s="9"/>
    </row>
    <row r="999" spans="1:22" x14ac:dyDescent="0.35">
      <c r="A999" s="18" t="s">
        <v>1092</v>
      </c>
      <c r="B999" s="7">
        <v>45097</v>
      </c>
      <c r="C999" s="23" t="s">
        <v>83</v>
      </c>
      <c r="D999" s="23" t="s">
        <v>23</v>
      </c>
      <c r="E999" s="23" t="s">
        <v>24</v>
      </c>
      <c r="F999" s="28">
        <v>2023</v>
      </c>
      <c r="G999" s="23" t="s">
        <v>43</v>
      </c>
      <c r="H999" s="23" t="s">
        <v>117</v>
      </c>
      <c r="I999" s="23" t="s">
        <v>50</v>
      </c>
      <c r="J999" s="46">
        <v>8000</v>
      </c>
      <c r="K999" s="4">
        <v>10</v>
      </c>
      <c r="L999" s="5">
        <v>5</v>
      </c>
      <c r="M999" s="46">
        <v>76000</v>
      </c>
      <c r="N999" s="46">
        <v>46546</v>
      </c>
      <c r="O999" s="46">
        <v>29454</v>
      </c>
      <c r="P999" s="6">
        <v>38.76</v>
      </c>
      <c r="Q999" s="33" t="s">
        <v>81</v>
      </c>
      <c r="R999" s="33" t="s">
        <v>67</v>
      </c>
      <c r="S999" s="33" t="s">
        <v>40</v>
      </c>
      <c r="T999" s="33" t="s">
        <v>41</v>
      </c>
      <c r="U999" s="39">
        <v>4</v>
      </c>
      <c r="V999" s="9"/>
    </row>
    <row r="1000" spans="1:22" x14ac:dyDescent="0.35">
      <c r="A1000" s="17" t="s">
        <v>1093</v>
      </c>
      <c r="B1000" s="8">
        <v>45168</v>
      </c>
      <c r="C1000" s="22" t="s">
        <v>90</v>
      </c>
      <c r="D1000" s="22" t="s">
        <v>65</v>
      </c>
      <c r="E1000" s="22" t="s">
        <v>48</v>
      </c>
      <c r="F1000" s="27">
        <v>2024</v>
      </c>
      <c r="G1000" s="22" t="s">
        <v>61</v>
      </c>
      <c r="H1000" s="22" t="s">
        <v>106</v>
      </c>
      <c r="I1000" s="22" t="s">
        <v>38</v>
      </c>
      <c r="J1000" s="45">
        <v>12000</v>
      </c>
      <c r="K1000" s="1">
        <v>5</v>
      </c>
      <c r="L1000" s="2">
        <v>5</v>
      </c>
      <c r="M1000" s="45">
        <v>57000</v>
      </c>
      <c r="N1000" s="45">
        <v>32514</v>
      </c>
      <c r="O1000" s="45">
        <v>24486</v>
      </c>
      <c r="P1000" s="3">
        <v>42.96</v>
      </c>
      <c r="Q1000" s="32" t="s">
        <v>51</v>
      </c>
      <c r="R1000" s="32" t="s">
        <v>76</v>
      </c>
      <c r="S1000" s="32" t="s">
        <v>85</v>
      </c>
      <c r="T1000" s="32" t="s">
        <v>31</v>
      </c>
      <c r="U1000" s="38">
        <v>5</v>
      </c>
      <c r="V1000" s="9"/>
    </row>
    <row r="1001" spans="1:22" x14ac:dyDescent="0.35">
      <c r="A1001" s="19" t="s">
        <v>1094</v>
      </c>
      <c r="B1001" s="13">
        <v>45594</v>
      </c>
      <c r="C1001" s="24" t="s">
        <v>70</v>
      </c>
      <c r="D1001" s="24" t="s">
        <v>65</v>
      </c>
      <c r="E1001" s="24" t="s">
        <v>48</v>
      </c>
      <c r="F1001" s="29">
        <v>2024</v>
      </c>
      <c r="G1001" s="24" t="s">
        <v>36</v>
      </c>
      <c r="H1001" s="24" t="s">
        <v>84</v>
      </c>
      <c r="I1001" s="24" t="s">
        <v>27</v>
      </c>
      <c r="J1001" s="47">
        <v>8000</v>
      </c>
      <c r="K1001" s="14">
        <v>3</v>
      </c>
      <c r="L1001" s="43">
        <v>5</v>
      </c>
      <c r="M1001" s="47">
        <v>22800</v>
      </c>
      <c r="N1001" s="47">
        <v>15960</v>
      </c>
      <c r="O1001" s="47">
        <v>6840</v>
      </c>
      <c r="P1001" s="15">
        <v>30</v>
      </c>
      <c r="Q1001" s="34" t="s">
        <v>51</v>
      </c>
      <c r="R1001" s="34" t="s">
        <v>45</v>
      </c>
      <c r="S1001" s="34" t="s">
        <v>30</v>
      </c>
      <c r="T1001" s="34" t="s">
        <v>41</v>
      </c>
      <c r="U1001" s="40">
        <v>5</v>
      </c>
      <c r="V1001" s="9"/>
    </row>
  </sheetData>
  <phoneticPr fontId="4" type="noConversion"/>
  <conditionalFormatting sqref="A1:A1048576">
    <cfRule type="duplicateValues" dxfId="1" priority="1"/>
    <cfRule type="duplicateValues" dxfId="0" priority="2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8E21-7FA7-4C67-93E8-38314C937FD9}">
  <sheetPr>
    <tabColor rgb="FFFFC000"/>
  </sheetPr>
  <dimension ref="A1:G29"/>
  <sheetViews>
    <sheetView tabSelected="1" zoomScale="79" workbookViewId="0">
      <selection activeCell="E3" sqref="E3"/>
    </sheetView>
  </sheetViews>
  <sheetFormatPr defaultRowHeight="14.5" x14ac:dyDescent="0.35"/>
  <cols>
    <col min="1" max="1" width="12.36328125" bestFit="1" customWidth="1"/>
    <col min="2" max="2" width="20.36328125" bestFit="1" customWidth="1"/>
    <col min="3" max="3" width="21.36328125" customWidth="1"/>
    <col min="4" max="4" width="26.1796875" customWidth="1"/>
    <col min="5" max="5" width="20.36328125" bestFit="1" customWidth="1"/>
    <col min="6" max="6" width="16.26953125" bestFit="1" customWidth="1"/>
    <col min="7" max="7" width="24.7265625" customWidth="1"/>
    <col min="8" max="8" width="33.08984375" customWidth="1"/>
    <col min="9" max="9" width="19.26953125" bestFit="1" customWidth="1"/>
    <col min="10" max="10" width="21.1796875" bestFit="1" customWidth="1"/>
    <col min="11" max="11" width="26.1796875" customWidth="1"/>
  </cols>
  <sheetData>
    <row r="1" spans="1:7" x14ac:dyDescent="0.35">
      <c r="A1" s="49" t="s">
        <v>1099</v>
      </c>
      <c r="B1" t="s">
        <v>1101</v>
      </c>
      <c r="D1" s="49" t="s">
        <v>1099</v>
      </c>
      <c r="E1" t="s">
        <v>1101</v>
      </c>
      <c r="F1" t="s">
        <v>1102</v>
      </c>
    </row>
    <row r="2" spans="1:7" x14ac:dyDescent="0.35">
      <c r="A2" s="50" t="s">
        <v>34</v>
      </c>
      <c r="B2" s="36">
        <v>4990375</v>
      </c>
      <c r="D2" s="50" t="s">
        <v>75</v>
      </c>
      <c r="E2" s="36">
        <v>13602775</v>
      </c>
      <c r="F2" s="36">
        <v>4862978</v>
      </c>
    </row>
    <row r="3" spans="1:7" x14ac:dyDescent="0.35">
      <c r="A3" s="50" t="s">
        <v>79</v>
      </c>
      <c r="B3" s="36">
        <v>5361450</v>
      </c>
      <c r="D3" s="50" t="s">
        <v>39</v>
      </c>
      <c r="E3" s="36">
        <v>14641150</v>
      </c>
      <c r="F3" s="36">
        <v>5333522</v>
      </c>
    </row>
    <row r="4" spans="1:7" x14ac:dyDescent="0.35">
      <c r="A4" s="50" t="s">
        <v>110</v>
      </c>
      <c r="B4" s="36">
        <v>6669550</v>
      </c>
      <c r="D4" s="50" t="s">
        <v>51</v>
      </c>
      <c r="E4" s="36">
        <v>13289850</v>
      </c>
      <c r="F4" s="36">
        <v>4871386</v>
      </c>
    </row>
    <row r="5" spans="1:7" x14ac:dyDescent="0.35">
      <c r="A5" s="50" t="s">
        <v>108</v>
      </c>
      <c r="B5" s="36">
        <v>4684800</v>
      </c>
      <c r="D5" s="50" t="s">
        <v>28</v>
      </c>
      <c r="E5" s="36">
        <v>12519975</v>
      </c>
      <c r="F5" s="36">
        <v>4585211</v>
      </c>
    </row>
    <row r="6" spans="1:7" x14ac:dyDescent="0.35">
      <c r="A6" s="50" t="s">
        <v>97</v>
      </c>
      <c r="B6" s="36">
        <v>4233325</v>
      </c>
      <c r="D6" s="50" t="s">
        <v>81</v>
      </c>
      <c r="E6" s="36">
        <v>12122750</v>
      </c>
      <c r="F6" s="36">
        <v>4353463</v>
      </c>
    </row>
    <row r="7" spans="1:7" x14ac:dyDescent="0.35">
      <c r="A7" s="50" t="s">
        <v>74</v>
      </c>
      <c r="B7" s="36">
        <v>5057375</v>
      </c>
      <c r="D7" s="50" t="s">
        <v>1100</v>
      </c>
      <c r="E7" s="36">
        <v>66176500</v>
      </c>
      <c r="F7" s="36">
        <v>24006560</v>
      </c>
    </row>
    <row r="8" spans="1:7" x14ac:dyDescent="0.35">
      <c r="A8" s="50" t="s">
        <v>47</v>
      </c>
      <c r="B8" s="36">
        <v>6073025</v>
      </c>
    </row>
    <row r="9" spans="1:7" x14ac:dyDescent="0.35">
      <c r="A9" s="50" t="s">
        <v>71</v>
      </c>
      <c r="B9" s="36">
        <v>5941225</v>
      </c>
      <c r="D9" s="49" t="s">
        <v>1099</v>
      </c>
      <c r="E9" t="s">
        <v>1101</v>
      </c>
      <c r="F9" t="s">
        <v>1102</v>
      </c>
      <c r="G9" t="s">
        <v>1103</v>
      </c>
    </row>
    <row r="10" spans="1:7" x14ac:dyDescent="0.35">
      <c r="A10" s="50" t="s">
        <v>87</v>
      </c>
      <c r="B10" s="36">
        <v>5659000</v>
      </c>
      <c r="D10" s="50" t="s">
        <v>63</v>
      </c>
      <c r="E10" s="36">
        <v>13766150</v>
      </c>
      <c r="F10" s="36">
        <v>4984455</v>
      </c>
      <c r="G10" s="11">
        <v>36.586203208556157</v>
      </c>
    </row>
    <row r="11" spans="1:7" x14ac:dyDescent="0.35">
      <c r="A11" s="50" t="s">
        <v>65</v>
      </c>
      <c r="B11" s="36">
        <v>4550550</v>
      </c>
      <c r="D11" s="50" t="s">
        <v>50</v>
      </c>
      <c r="E11" s="36">
        <v>16232700</v>
      </c>
      <c r="F11" s="36">
        <v>5846142</v>
      </c>
      <c r="G11" s="11">
        <v>36.325650000000003</v>
      </c>
    </row>
    <row r="12" spans="1:7" x14ac:dyDescent="0.35">
      <c r="A12" s="50" t="s">
        <v>116</v>
      </c>
      <c r="B12" s="36">
        <v>5833150</v>
      </c>
      <c r="D12" s="50" t="s">
        <v>27</v>
      </c>
      <c r="E12" s="36">
        <v>7968800</v>
      </c>
      <c r="F12" s="36">
        <v>2924073</v>
      </c>
      <c r="G12" s="11">
        <v>36.524581280788169</v>
      </c>
    </row>
    <row r="13" spans="1:7" x14ac:dyDescent="0.35">
      <c r="A13" s="50" t="s">
        <v>23</v>
      </c>
      <c r="B13" s="36">
        <v>7122675</v>
      </c>
      <c r="D13" s="50" t="s">
        <v>55</v>
      </c>
      <c r="E13" s="36">
        <v>17534850</v>
      </c>
      <c r="F13" s="36">
        <v>6369194</v>
      </c>
      <c r="G13" s="11">
        <v>36.191094527363191</v>
      </c>
    </row>
    <row r="14" spans="1:7" x14ac:dyDescent="0.35">
      <c r="A14" s="50" t="s">
        <v>1100</v>
      </c>
      <c r="B14" s="36">
        <v>66176500</v>
      </c>
      <c r="D14" s="50" t="s">
        <v>38</v>
      </c>
      <c r="E14" s="36">
        <v>10674000</v>
      </c>
      <c r="F14" s="36">
        <v>3882696</v>
      </c>
      <c r="G14" s="11">
        <v>36.48239234449764</v>
      </c>
    </row>
    <row r="15" spans="1:7" x14ac:dyDescent="0.35">
      <c r="D15" s="50" t="s">
        <v>1100</v>
      </c>
      <c r="E15" s="36">
        <v>66176500</v>
      </c>
      <c r="F15" s="36">
        <v>24006560</v>
      </c>
      <c r="G15" s="11">
        <v>36.420470000000002</v>
      </c>
    </row>
    <row r="18" spans="1:4" x14ac:dyDescent="0.35">
      <c r="A18" s="49" t="s">
        <v>1099</v>
      </c>
      <c r="B18" t="s">
        <v>1104</v>
      </c>
      <c r="C18" t="s">
        <v>1101</v>
      </c>
      <c r="D18" t="s">
        <v>1105</v>
      </c>
    </row>
    <row r="19" spans="1:4" x14ac:dyDescent="0.35">
      <c r="A19" s="50" t="s">
        <v>31</v>
      </c>
      <c r="B19">
        <v>523</v>
      </c>
      <c r="C19" s="36">
        <v>34194525</v>
      </c>
      <c r="D19" s="41">
        <v>3.0038240917782026</v>
      </c>
    </row>
    <row r="20" spans="1:4" x14ac:dyDescent="0.35">
      <c r="A20" s="50" t="s">
        <v>41</v>
      </c>
      <c r="B20">
        <v>477</v>
      </c>
      <c r="C20" s="36">
        <v>31981975</v>
      </c>
      <c r="D20" s="41">
        <v>2.9287211740041927</v>
      </c>
    </row>
    <row r="21" spans="1:4" x14ac:dyDescent="0.35">
      <c r="A21" s="50" t="s">
        <v>1100</v>
      </c>
      <c r="B21">
        <v>1000</v>
      </c>
      <c r="C21" s="36">
        <v>66176500</v>
      </c>
      <c r="D21" s="41">
        <v>2.968</v>
      </c>
    </row>
    <row r="23" spans="1:4" x14ac:dyDescent="0.35">
      <c r="A23" s="49" t="s">
        <v>1099</v>
      </c>
      <c r="B23" t="s">
        <v>1104</v>
      </c>
      <c r="C23" t="s">
        <v>1101</v>
      </c>
    </row>
    <row r="24" spans="1:4" x14ac:dyDescent="0.35">
      <c r="A24" s="50" t="s">
        <v>57</v>
      </c>
      <c r="B24">
        <v>201</v>
      </c>
      <c r="C24" s="36">
        <v>14009350</v>
      </c>
    </row>
    <row r="25" spans="1:4" x14ac:dyDescent="0.35">
      <c r="A25" s="50" t="s">
        <v>40</v>
      </c>
      <c r="B25">
        <v>192</v>
      </c>
      <c r="C25" s="36">
        <v>12662325</v>
      </c>
    </row>
    <row r="26" spans="1:4" x14ac:dyDescent="0.35">
      <c r="A26" s="50" t="s">
        <v>68</v>
      </c>
      <c r="B26">
        <v>225</v>
      </c>
      <c r="C26" s="36">
        <v>14678550</v>
      </c>
    </row>
    <row r="27" spans="1:4" x14ac:dyDescent="0.35">
      <c r="A27" s="50" t="s">
        <v>30</v>
      </c>
      <c r="B27">
        <v>187</v>
      </c>
      <c r="C27" s="36">
        <v>12486525</v>
      </c>
    </row>
    <row r="28" spans="1:4" x14ac:dyDescent="0.35">
      <c r="A28" s="50" t="s">
        <v>85</v>
      </c>
      <c r="B28">
        <v>195</v>
      </c>
      <c r="C28" s="36">
        <v>12339750</v>
      </c>
    </row>
    <row r="29" spans="1:4" x14ac:dyDescent="0.35">
      <c r="A29" s="50" t="s">
        <v>1100</v>
      </c>
      <c r="B29">
        <v>1000</v>
      </c>
      <c r="C29" s="36">
        <v>66176500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43F0-4B62-44B7-80E0-5C18258A0074}">
  <sheetPr>
    <tabColor rgb="FF0070C0"/>
  </sheetPr>
  <dimension ref="A1:X4"/>
  <sheetViews>
    <sheetView showGridLines="0" zoomScale="58" workbookViewId="0">
      <selection activeCell="Z24" sqref="Z24"/>
    </sheetView>
  </sheetViews>
  <sheetFormatPr defaultRowHeight="14.5" x14ac:dyDescent="0.35"/>
  <sheetData>
    <row r="1" spans="1:24" x14ac:dyDescent="0.3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</row>
    <row r="2" spans="1:24" x14ac:dyDescent="0.3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</row>
    <row r="3" spans="1:24" x14ac:dyDescent="0.3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</row>
    <row r="4" spans="1:24" x14ac:dyDescent="0.3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2275-DE7C-4A76-AA52-65F330E07207}">
  <sheetPr>
    <tabColor rgb="FFBED4CB"/>
  </sheetPr>
  <dimension ref="C4:E10"/>
  <sheetViews>
    <sheetView workbookViewId="0">
      <selection activeCell="D13" sqref="D13"/>
    </sheetView>
  </sheetViews>
  <sheetFormatPr defaultRowHeight="14.5" x14ac:dyDescent="0.35"/>
  <cols>
    <col min="2" max="2" width="7.1796875" customWidth="1"/>
    <col min="3" max="3" width="8.7265625" hidden="1" customWidth="1"/>
    <col min="4" max="4" width="23.54296875" customWidth="1"/>
    <col min="5" max="5" width="36" customWidth="1"/>
  </cols>
  <sheetData>
    <row r="4" spans="4:5" x14ac:dyDescent="0.35">
      <c r="D4" s="52" t="s">
        <v>1106</v>
      </c>
      <c r="E4" s="52" t="s">
        <v>1107</v>
      </c>
    </row>
    <row r="5" spans="4:5" x14ac:dyDescent="0.35">
      <c r="D5" s="59" t="s">
        <v>1108</v>
      </c>
      <c r="E5" s="53">
        <f>COUNTA('Data Penjualan'!A:A)-1</f>
        <v>1000</v>
      </c>
    </row>
    <row r="6" spans="4:5" x14ac:dyDescent="0.35">
      <c r="D6" s="59" t="s">
        <v>12</v>
      </c>
      <c r="E6" s="58">
        <f>SUM('Data Penjualan'!M:M)</f>
        <v>66176500</v>
      </c>
    </row>
    <row r="7" spans="4:5" x14ac:dyDescent="0.35">
      <c r="D7" s="59" t="s">
        <v>1109</v>
      </c>
      <c r="E7" s="54">
        <f>SUM('Data Penjualan'!O:O)</f>
        <v>24006560</v>
      </c>
    </row>
    <row r="8" spans="4:5" x14ac:dyDescent="0.35">
      <c r="D8" s="59" t="s">
        <v>1110</v>
      </c>
      <c r="E8" s="55">
        <f>AVERAGE('Data Penjualan'!P:P)</f>
        <v>36.42046999999998</v>
      </c>
    </row>
    <row r="9" spans="4:5" x14ac:dyDescent="0.35">
      <c r="D9" s="59" t="s">
        <v>1111</v>
      </c>
      <c r="E9" s="56">
        <f>AVERAGE('Data Penjualan'!U:U)</f>
        <v>2.968</v>
      </c>
    </row>
    <row r="10" spans="4:5" x14ac:dyDescent="0.35">
      <c r="D10" s="59" t="s">
        <v>1112</v>
      </c>
      <c r="E10" s="5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Penjualan</vt:lpstr>
      <vt:lpstr>Pivot Tables</vt:lpstr>
      <vt:lpstr>Dashboard</vt:lpstr>
      <vt:lpstr>Analisis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Dea Alensa</cp:lastModifiedBy>
  <dcterms:created xsi:type="dcterms:W3CDTF">2026-04-26T01:04:01Z</dcterms:created>
  <dcterms:modified xsi:type="dcterms:W3CDTF">2026-04-27T01:11:14Z</dcterms:modified>
</cp:coreProperties>
</file>